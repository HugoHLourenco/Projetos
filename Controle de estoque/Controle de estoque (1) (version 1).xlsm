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Hugo\Desktop\Gaveta\Códigos\Projetos\Controle de estoque\"/>
    </mc:Choice>
  </mc:AlternateContent>
  <xr:revisionPtr revIDLastSave="0" documentId="13_ncr:1_{866EEF64-D250-4ED6-BAD1-C56E4D9F32C0}" xr6:coauthVersionLast="47" xr6:coauthVersionMax="47" xr10:uidLastSave="{00000000-0000-0000-0000-000000000000}"/>
  <bookViews>
    <workbookView xWindow="-120" yWindow="-120" windowWidth="21840" windowHeight="13140" xr2:uid="{E6ED1D82-984C-45F8-8937-FF050AD2DB12}"/>
  </bookViews>
  <sheets>
    <sheet name="Geral" sheetId="1" r:id="rId1"/>
    <sheet name="Planejamento" sheetId="5" r:id="rId2"/>
    <sheet name="Twister" sheetId="2" r:id="rId3"/>
    <sheet name="Long Drink" sheetId="3" r:id="rId4"/>
    <sheet name="Pop Cup" sheetId="4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13" i="4" l="1"/>
  <c r="AG12" i="4"/>
  <c r="AG11" i="4"/>
  <c r="AG10" i="4"/>
  <c r="AG9" i="4"/>
  <c r="AG8" i="4"/>
  <c r="AG7" i="4"/>
  <c r="AG6" i="4"/>
  <c r="AG5" i="4"/>
  <c r="AG4" i="4"/>
  <c r="AG3" i="4"/>
  <c r="AG2" i="4"/>
  <c r="AG23" i="3"/>
  <c r="AG22" i="3"/>
  <c r="AG21" i="3"/>
  <c r="AG20" i="3"/>
  <c r="AG19" i="3"/>
  <c r="AG18" i="3"/>
  <c r="AG17" i="3"/>
  <c r="AG16" i="3"/>
  <c r="AG15" i="3"/>
  <c r="AG14" i="3"/>
  <c r="AG13" i="3"/>
  <c r="AG12" i="3"/>
  <c r="AG11" i="3"/>
  <c r="AG10" i="3"/>
  <c r="AG9" i="3"/>
  <c r="AG8" i="3"/>
  <c r="AG7" i="3"/>
  <c r="AG6" i="3"/>
  <c r="AG5" i="3"/>
  <c r="AG4" i="3"/>
  <c r="AG3" i="3"/>
  <c r="AG2" i="3"/>
  <c r="AG3" i="2"/>
  <c r="AG2" i="2"/>
  <c r="AG4" i="2"/>
  <c r="AG5" i="2"/>
  <c r="AG6" i="2"/>
  <c r="AG7" i="2"/>
  <c r="AG8" i="2"/>
  <c r="AG9" i="2"/>
  <c r="AG10" i="2"/>
  <c r="AG11" i="2"/>
  <c r="AG12" i="2"/>
  <c r="AG13" i="2"/>
  <c r="AG14" i="2"/>
  <c r="AG15" i="2"/>
  <c r="AG16" i="2"/>
  <c r="AG17" i="2"/>
  <c r="AG18" i="2"/>
  <c r="AG19" i="2"/>
  <c r="AG20" i="2"/>
  <c r="AG21" i="2"/>
  <c r="AG22" i="2"/>
  <c r="AG23" i="2"/>
</calcChain>
</file>

<file path=xl/sharedStrings.xml><?xml version="1.0" encoding="utf-8"?>
<sst xmlns="http://schemas.openxmlformats.org/spreadsheetml/2006/main" count="209" uniqueCount="66">
  <si>
    <t>COR</t>
  </si>
  <si>
    <t>TWISTER</t>
  </si>
  <si>
    <t>LONG DRINK</t>
  </si>
  <si>
    <t>POP CUP</t>
  </si>
  <si>
    <t>CRISTAL</t>
  </si>
  <si>
    <t>VERDE NEON</t>
  </si>
  <si>
    <t>LARANJA NEON</t>
  </si>
  <si>
    <t>ROSA NEON</t>
  </si>
  <si>
    <t>ROXO</t>
  </si>
  <si>
    <t>AZUL NEON</t>
  </si>
  <si>
    <t>FUMÊ</t>
  </si>
  <si>
    <t>BRANCO</t>
  </si>
  <si>
    <t>PÉROLA</t>
  </si>
  <si>
    <t>ROSA BEBE</t>
  </si>
  <si>
    <t>AZUL BEBE</t>
  </si>
  <si>
    <t>DOURADO</t>
  </si>
  <si>
    <t>AMARELO FLUOR</t>
  </si>
  <si>
    <t>TIFFANY</t>
  </si>
  <si>
    <t>VERDE FECHADO</t>
  </si>
  <si>
    <t>VERMELHO FECHADO</t>
  </si>
  <si>
    <t>AZUL BIC</t>
  </si>
  <si>
    <t>PRATA</t>
  </si>
  <si>
    <t>PRETO</t>
  </si>
  <si>
    <t>INCOLOR</t>
  </si>
  <si>
    <t>VERDE</t>
  </si>
  <si>
    <t>X</t>
  </si>
  <si>
    <t>AZUL FLUOR</t>
  </si>
  <si>
    <t>LARANJA FLUOR</t>
  </si>
  <si>
    <t>VERDE TRANSLUCIDO</t>
  </si>
  <si>
    <t>VERMELHO TRANSLUCIDO</t>
  </si>
  <si>
    <t>ROSA FLUOR / FECHADO</t>
  </si>
  <si>
    <t>AMARELO CANÁRIO</t>
  </si>
  <si>
    <t>PINK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</si>
  <si>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</si>
  <si>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</si>
  <si>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</si>
  <si>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</si>
  <si>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</si>
  <si>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</si>
  <si>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</si>
  <si>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</si>
  <si>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</si>
  <si>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</si>
  <si>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</si>
  <si>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</si>
  <si>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</si>
  <si>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</si>
  <si>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</si>
  <si>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</si>
  <si>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</si>
  <si>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</si>
  <si>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</si>
  <si>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</si>
  <si>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</si>
  <si>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</si>
  <si>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</si>
  <si>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</si>
  <si>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</si>
  <si>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</si>
  <si>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</si>
  <si>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</si>
  <si>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</si>
  <si>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</si>
  <si>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</si>
  <si>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TOTAL</t>
  </si>
  <si>
    <t>ROSA FLUOR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</si>
</sst>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20"/>
      <color theme="1"/>
      <name val="Aptos Narrow"/>
      <family val="2"/>
      <scheme val="minor"/>
    </font>
    <font>
      <b/>
      <sz val="22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26"/>
      <color rgb="FF000000"/>
      <name val="Aptos Narrow"/>
      <family val="2"/>
    </font>
    <font>
      <sz val="48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5" xfId="0" applyFont="1" applyBorder="1"/>
    <xf numFmtId="0" fontId="3" fillId="0" borderId="3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/>
    <xf numFmtId="0" fontId="4" fillId="2" borderId="1" xfId="0" applyFont="1" applyFill="1" applyBorder="1" applyAlignment="1">
      <alignment horizontal="center"/>
    </xf>
    <xf numFmtId="0" fontId="4" fillId="0" borderId="6" xfId="0" applyFont="1" applyBorder="1"/>
  </cellXfs>
  <cellStyles count="1">
    <cellStyle name="Normal" xfId="0" builtinId="0"/>
  </cellStyles>
  <dxfs count="134">
    <dxf>
      <font>
        <b/>
        <strike val="0"/>
        <outline val="0"/>
        <shadow val="0"/>
        <u val="none"/>
        <vertAlign val="baseline"/>
        <sz val="22"/>
        <color theme="1"/>
        <name val="Aptos Narrow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22"/>
        <color theme="1"/>
        <name val="Aptos Narrow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22"/>
        <color theme="1"/>
        <name val="Aptos Narrow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22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ptos Narrow"/>
        <family val="2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ptos Narrow"/>
        <family val="2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5" tint="-0.24994659260841701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571500</xdr:colOff>
          <xdr:row>8</xdr:row>
          <xdr:rowOff>123825</xdr:rowOff>
        </xdr:from>
        <xdr:to>
          <xdr:col>10</xdr:col>
          <xdr:colOff>590550</xdr:colOff>
          <xdr:row>13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pt-BR" sz="4800" b="0" i="0" u="none" strike="noStrike" baseline="0">
                  <a:solidFill>
                    <a:srgbClr val="000000"/>
                  </a:solidFill>
                  <a:latin typeface="Aptos Narrow"/>
                </a:rPr>
                <a:t>Retirar copos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609600</xdr:colOff>
          <xdr:row>1</xdr:row>
          <xdr:rowOff>19050</xdr:rowOff>
        </xdr:from>
        <xdr:to>
          <xdr:col>10</xdr:col>
          <xdr:colOff>571500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pt-BR" sz="4800" b="0" i="0" u="none" strike="noStrike" baseline="0">
                  <a:solidFill>
                    <a:srgbClr val="000000"/>
                  </a:solidFill>
                  <a:latin typeface="Aptos Narrow"/>
                </a:rPr>
                <a:t>Adicionar copos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133350</xdr:colOff>
          <xdr:row>0</xdr:row>
          <xdr:rowOff>333375</xdr:rowOff>
        </xdr:from>
        <xdr:to>
          <xdr:col>39</xdr:col>
          <xdr:colOff>209550</xdr:colOff>
          <xdr:row>3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pt-BR" sz="2600" b="0" i="0" u="none" strike="noStrike" baseline="0">
                  <a:solidFill>
                    <a:srgbClr val="000000"/>
                  </a:solidFill>
                  <a:latin typeface="Aptos Narrow"/>
                </a:rPr>
                <a:t>Limpar tabela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FFAE27-028A-47C6-930C-8602EEBA3E50}" name="Tabela1" displayName="Tabela1" ref="A1:D28" totalsRowShown="0" headerRowDxfId="128" dataDxfId="126" headerRowBorderDxfId="127" tableBorderDxfId="125" totalsRowBorderDxfId="124" headerRowCellStyle="Normal" dataCellStyle="Normal">
  <autoFilter ref="A1:D28" xr:uid="{BDFFAE27-028A-47C6-930C-8602EEBA3E50}"/>
  <sortState xmlns:xlrd2="http://schemas.microsoft.com/office/spreadsheetml/2017/richdata2" ref="A2:D28">
    <sortCondition ref="A1:A28"/>
  </sortState>
  <tableColumns count="4">
    <tableColumn id="1" xr3:uid="{8F5E8487-439A-4B3B-BBBC-B91014AE9861}" name="COR" dataDxfId="123" dataCellStyle="Normal"/>
    <tableColumn id="2" xr3:uid="{F9EEA61E-0804-47A7-B277-C43FD4BDB99D}" name="TWISTER" dataDxfId="122" dataCellStyle="Normal"/>
    <tableColumn id="3" xr3:uid="{7DF0988D-6FC9-4D8B-A200-1179AD874D0C}" name="LONG DRINK" dataDxfId="121" dataCellStyle="Normal"/>
    <tableColumn id="4" xr3:uid="{646B671F-A5BE-4D25-AFA8-3A0CE8CECF9D}" name="POP CUP" dataDxfId="120" dataCellStyle="Normal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7426028-81B4-48AC-98C1-BC5E816A9DE4}" name="Tabela4" displayName="Tabela4" ref="A1:A23" totalsRowShown="0" headerRowDxfId="119" dataDxfId="118">
  <autoFilter ref="A1:A23" xr:uid="{D7426028-81B4-48AC-98C1-BC5E816A9DE4}"/>
  <tableColumns count="1">
    <tableColumn id="1" xr3:uid="{DA9F1C32-CEE1-41BD-A8FC-313DA36425FD}" name="COR" dataDxfId="117"/>
  </tableColumns>
  <tableStyleInfo name="TableStyleLight1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6CD8325-09AA-443A-9244-C3EA46344071}" name="Tabela5" displayName="Tabela5" ref="B1:AG23" totalsRowShown="0" headerRowDxfId="116" dataDxfId="114" headerRowBorderDxfId="115" tableBorderDxfId="113" totalsRowBorderDxfId="112">
  <autoFilter ref="B1:AG23" xr:uid="{16CD8325-09AA-443A-9244-C3EA46344071}"/>
  <tableColumns count="32">
    <tableColumn id="1" xr3:uid="{62A8A20B-9EC0-4907-97E8-16757098D20D}" name="1" dataDxfId="111"/>
    <tableColumn id="2" xr3:uid="{1680DCFC-4C04-4554-B6E5-42DC8B51C25B}" name="2" dataDxfId="110"/>
    <tableColumn id="3" xr3:uid="{F3B5F6CC-B652-4621-8390-73D72F25A7BE}" name="3" dataDxfId="109"/>
    <tableColumn id="4" xr3:uid="{7FC762B6-7665-40AF-8D38-05AA3D80285B}" name="4" dataDxfId="108"/>
    <tableColumn id="5" xr3:uid="{73E4158E-C894-42DF-9843-3E96D47C2EC1}" name="5" dataDxfId="107"/>
    <tableColumn id="6" xr3:uid="{41A14158-D7FC-4B42-893D-4C47BA6BEBF0}" name="6" dataDxfId="106"/>
    <tableColumn id="7" xr3:uid="{AB2E8F0D-900F-424C-8BD9-3C87A2657DB6}" name="7" dataDxfId="105"/>
    <tableColumn id="8" xr3:uid="{0427C31B-B78D-4103-A14D-2812C93B67B0}" name="8" dataDxfId="104"/>
    <tableColumn id="9" xr3:uid="{B997A139-3EA0-4D12-9BD0-5D4711181DDE}" name="9" dataDxfId="103"/>
    <tableColumn id="10" xr3:uid="{0D99FC9C-422B-4BE7-B3F4-130789C18419}" name="10" dataDxfId="102"/>
    <tableColumn id="11" xr3:uid="{77EBFC92-B474-481A-AC36-259AA1906BE0}" name="11" dataDxfId="101"/>
    <tableColumn id="12" xr3:uid="{DCBCC3CA-8702-4942-AD34-3B570EC0F993}" name="12" dataDxfId="100"/>
    <tableColumn id="13" xr3:uid="{E98F93DA-2770-4E6B-B095-CA104B74D8B5}" name="13" dataDxfId="99"/>
    <tableColumn id="14" xr3:uid="{4C1C7FCD-6C12-464E-855D-5FA57D1C1CC2}" name="14" dataDxfId="98"/>
    <tableColumn id="15" xr3:uid="{B644A709-B2E0-4939-B55C-9284086C7868}" name="15" dataDxfId="97"/>
    <tableColumn id="16" xr3:uid="{6096053F-8BF2-4807-93A6-49E5089A56DC}" name="16" dataDxfId="96"/>
    <tableColumn id="17" xr3:uid="{454D9380-8A8F-41FB-B486-D5508ED3185D}" name="17" dataDxfId="95"/>
    <tableColumn id="18" xr3:uid="{01982290-B567-44D7-A1BE-A8E67B604522}" name="18" dataDxfId="94"/>
    <tableColumn id="19" xr3:uid="{E4495A13-65B7-4FAD-935C-BBD2E97A96F6}" name="19" dataDxfId="93"/>
    <tableColumn id="20" xr3:uid="{9EF227EC-AFFC-481B-9F6C-99E0C5C0C942}" name="20" dataDxfId="92"/>
    <tableColumn id="21" xr3:uid="{8A897F00-7E38-4157-8663-9F9A89D79082}" name="21" dataDxfId="91"/>
    <tableColumn id="22" xr3:uid="{731D87FA-85A1-4419-88AD-6CFEF927AB73}" name="22" dataDxfId="90"/>
    <tableColumn id="23" xr3:uid="{6BEEA501-1799-4EB1-BE1F-ADAF6CD457DD}" name="23" dataDxfId="89"/>
    <tableColumn id="24" xr3:uid="{4DD4D0BC-5764-49E7-8639-A52779E14133}" name="24" dataDxfId="88"/>
    <tableColumn id="25" xr3:uid="{7C96EA23-6D87-43F5-A238-7B8DAEAFBD05}" name="25" dataDxfId="87"/>
    <tableColumn id="26" xr3:uid="{D18D8EB7-5BC4-4A5F-A974-098E5BD3BFD0}" name="26" dataDxfId="86"/>
    <tableColumn id="27" xr3:uid="{48490E42-F13E-4A7F-A6AD-CDF70C8D6180}" name="27" dataDxfId="85"/>
    <tableColumn id="28" xr3:uid="{EB710D37-E67C-48CA-A53E-9839AF3BCEA2}" name="28" dataDxfId="84"/>
    <tableColumn id="29" xr3:uid="{C5BAB104-2F77-417B-BE05-660C0C8BDDB8}" name="29" dataDxfId="83"/>
    <tableColumn id="30" xr3:uid="{E4F10D12-DF20-4E3B-84D7-D33BC8821FBB}" name="30" dataDxfId="82"/>
    <tableColumn id="31" xr3:uid="{4A0B164B-59A7-4667-AED8-A4870C8AE663}" name="31" dataDxfId="81"/>
    <tableColumn id="32" xr3:uid="{EA8733C9-047D-4783-B632-97C164B5B335}" name="TOTAL" dataDxfId="80">
      <calculatedColumnFormula>SUM(Tabela5[[#This Row],[1]:[31]])</calculatedColumnFormula>
    </tableColumn>
  </tableColumns>
  <tableStyleInfo name="TableStyleLight1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C6AF8DE-94DC-407D-B2B2-8285FB683FC7}" name="Tabela47" displayName="Tabela47" ref="A1:A23" totalsRowShown="0" headerRowDxfId="79" dataDxfId="78">
  <autoFilter ref="A1:A23" xr:uid="{4C6AF8DE-94DC-407D-B2B2-8285FB683FC7}"/>
  <tableColumns count="1">
    <tableColumn id="1" xr3:uid="{AA3AFAA5-458E-4591-BB71-848A3C839DD5}" name="COR" dataDxfId="77"/>
  </tableColumns>
  <tableStyleInfo name="TableStyleLight1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A1B25C3-E563-4711-B4E0-B71BCA1310C9}" name="Tabela58" displayName="Tabela58" ref="B1:AG23" totalsRowShown="0" headerRowDxfId="76" dataDxfId="74" headerRowBorderDxfId="75" tableBorderDxfId="73" totalsRowBorderDxfId="72">
  <autoFilter ref="B1:AG23" xr:uid="{EA1B25C3-E563-4711-B4E0-B71BCA1310C9}"/>
  <tableColumns count="32">
    <tableColumn id="1" xr3:uid="{0D648C67-39CA-480B-A3B7-0BBF003C4B5F}" name="1" dataDxfId="71"/>
    <tableColumn id="2" xr3:uid="{0E4D1A18-352B-4B04-A27F-448B3E01A46E}" name="2" dataDxfId="70"/>
    <tableColumn id="3" xr3:uid="{B28228A7-4C39-4F18-9D83-A85E1B9B26B7}" name="3" dataDxfId="69"/>
    <tableColumn id="4" xr3:uid="{AD7D1EDC-34C0-46A2-A90D-6BD1377A9B29}" name="4" dataDxfId="68"/>
    <tableColumn id="5" xr3:uid="{E02C08FA-4A58-4976-9CF2-1C30B41CC985}" name="5" dataDxfId="67"/>
    <tableColumn id="6" xr3:uid="{6D273985-E6FE-4B20-A791-8B4D03D1F4A8}" name="6" dataDxfId="66"/>
    <tableColumn id="7" xr3:uid="{7775D497-7BB9-4BFC-A783-53D8E78A4A46}" name="7" dataDxfId="65"/>
    <tableColumn id="8" xr3:uid="{286DC611-C92B-4072-8E99-3F2FF29BA624}" name="8" dataDxfId="64"/>
    <tableColumn id="9" xr3:uid="{AF45F89B-92E5-491D-87C2-71D12A72E6AC}" name="9" dataDxfId="63"/>
    <tableColumn id="10" xr3:uid="{ACF8155B-A0F1-4B0C-B36A-ADE39E9AC294}" name="10" dataDxfId="62"/>
    <tableColumn id="11" xr3:uid="{AC887950-E6FB-481F-A499-204E89687FC7}" name="11" dataDxfId="61"/>
    <tableColumn id="12" xr3:uid="{E8D2872D-FF7E-4282-9241-930CA30E6C86}" name="12" dataDxfId="60"/>
    <tableColumn id="13" xr3:uid="{F8BF0A3E-C0B1-46C6-AC77-3287596BFAC7}" name="13" dataDxfId="59"/>
    <tableColumn id="14" xr3:uid="{F1AD3773-A592-429A-9E3C-B7E47111050A}" name="14" dataDxfId="58"/>
    <tableColumn id="15" xr3:uid="{EDD43FFF-FF75-4BCA-AFDA-959DEE09972B}" name="15" dataDxfId="57"/>
    <tableColumn id="16" xr3:uid="{9F665FB7-E107-4827-A690-DCE59A70C368}" name="16" dataDxfId="56"/>
    <tableColumn id="17" xr3:uid="{9C215BE4-516D-4682-8F8C-07F1A7139FB5}" name="17" dataDxfId="55"/>
    <tableColumn id="18" xr3:uid="{7B295CED-3AE0-49F0-A365-597396CFA39B}" name="18" dataDxfId="54"/>
    <tableColumn id="19" xr3:uid="{3C847DB7-EC6D-4DB2-BD2B-5FE800BA4D1B}" name="19" dataDxfId="53"/>
    <tableColumn id="20" xr3:uid="{F0DADDA1-417B-420E-A2FA-51F4AFD4EE61}" name="20" dataDxfId="52"/>
    <tableColumn id="21" xr3:uid="{798C3076-383B-4B06-ACA6-C0503C43C743}" name="21" dataDxfId="51"/>
    <tableColumn id="22" xr3:uid="{633E1324-327E-45FA-9981-37587CF45110}" name="22" dataDxfId="50"/>
    <tableColumn id="23" xr3:uid="{FD2C19EC-8527-4AC8-B335-1D9E7000ADD9}" name="23" dataDxfId="49"/>
    <tableColumn id="24" xr3:uid="{94B3EB76-C6AC-4F44-9F40-B34CF0B1F912}" name="24" dataDxfId="48"/>
    <tableColumn id="25" xr3:uid="{6B4E9F8C-2623-4EC1-A53D-7CA1FA38AA94}" name="25" dataDxfId="47"/>
    <tableColumn id="26" xr3:uid="{61A9A948-EE0F-4C07-9F4F-8BACDCB6AC58}" name="26" dataDxfId="46"/>
    <tableColumn id="27" xr3:uid="{259F8EE5-8F30-4045-A826-2D1DC6420B3E}" name="27" dataDxfId="45"/>
    <tableColumn id="28" xr3:uid="{2524F19E-8E31-48D6-8CE4-BFABE0F01D92}" name="28" dataDxfId="44"/>
    <tableColumn id="29" xr3:uid="{A743907B-6709-4A94-96C4-87B31021DAC1}" name="29" dataDxfId="43"/>
    <tableColumn id="30" xr3:uid="{2A901E85-73B0-4D0F-BEB2-8CA76328CC18}" name="30" dataDxfId="42"/>
    <tableColumn id="31" xr3:uid="{39E7A524-A971-4EA6-8EFB-8127FCADDA9D}" name="31" dataDxfId="41"/>
    <tableColumn id="32" xr3:uid="{E4D4991F-4A8B-4DD7-8587-9200009796D5}" name="TOTAL" dataDxfId="40">
      <calculatedColumnFormula>SUM(Tabela58[[#This Row],[1]:[31]])</calculatedColumnFormula>
    </tableColumn>
  </tableColumns>
  <tableStyleInfo name="TableStyleLight1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58C81F6-B383-4992-A279-1EC9B1A5CF09}" name="Tabela479" displayName="Tabela479" ref="A1:A13" totalsRowShown="0" headerRowDxfId="39" dataDxfId="38">
  <autoFilter ref="A1:A13" xr:uid="{D58C81F6-B383-4992-A279-1EC9B1A5CF09}"/>
  <tableColumns count="1">
    <tableColumn id="1" xr3:uid="{2F65D35F-D38A-42A0-A507-B022159F612E}" name="COR" dataDxfId="37"/>
  </tableColumns>
  <tableStyleInfo name="TableStyleLight2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FECD0AE-0CEF-4D63-84A8-E86A2DFB848B}" name="Tabela5810" displayName="Tabela5810" ref="B1:AG13" totalsRowShown="0" headerRowDxfId="36" dataDxfId="34" headerRowBorderDxfId="35" tableBorderDxfId="33" totalsRowBorderDxfId="32">
  <autoFilter ref="B1:AG13" xr:uid="{CFECD0AE-0CEF-4D63-84A8-E86A2DFB848B}"/>
  <tableColumns count="32">
    <tableColumn id="1" xr3:uid="{9497914E-39FC-4752-BEAB-2E526C59779A}" name="1" dataDxfId="31"/>
    <tableColumn id="2" xr3:uid="{BDD94B5F-CD0D-41BB-9A3F-37AC3861EC2C}" name="2" dataDxfId="30"/>
    <tableColumn id="3" xr3:uid="{773AC9BA-3D90-4A6B-BDF8-4D120623BA92}" name="3" dataDxfId="29"/>
    <tableColumn id="4" xr3:uid="{DFF0D49D-B8FC-471E-A9ED-6D31BC14B6DA}" name="4" dataDxfId="28"/>
    <tableColumn id="5" xr3:uid="{558A5B6A-D47B-459A-97CF-02E12F7FCF54}" name="5" dataDxfId="27"/>
    <tableColumn id="6" xr3:uid="{D93AA748-19D0-4C26-8CCE-DEACA84774FE}" name="6" dataDxfId="26"/>
    <tableColumn id="7" xr3:uid="{DAAFC4C7-FC7E-4EBE-A2BC-8B6DEE0D136C}" name="7" dataDxfId="25"/>
    <tableColumn id="8" xr3:uid="{D6773D66-45D9-4773-87E2-66B637E3DAC4}" name="8" dataDxfId="24"/>
    <tableColumn id="9" xr3:uid="{67AFCAC6-B8A5-46A2-8229-0476B8B0EBA1}" name="9" dataDxfId="23"/>
    <tableColumn id="10" xr3:uid="{A5181FB1-4509-493F-8A3B-64E5259C789C}" name="10" dataDxfId="22"/>
    <tableColumn id="11" xr3:uid="{54CCED36-CD1E-41E5-B585-4817D4677B74}" name="11" dataDxfId="21"/>
    <tableColumn id="12" xr3:uid="{A843DD83-1CED-42ED-BB4E-EB2FF31704C1}" name="12" dataDxfId="20"/>
    <tableColumn id="13" xr3:uid="{790D7767-8842-4273-80A4-7A04BFABFADC}" name="13" dataDxfId="19"/>
    <tableColumn id="14" xr3:uid="{B2C2D8F1-5173-45FD-BC95-180127C9D3C7}" name="14" dataDxfId="18"/>
    <tableColumn id="15" xr3:uid="{79DCB45F-67A1-4996-8BFD-C72F2156D0C1}" name="15" dataDxfId="17"/>
    <tableColumn id="16" xr3:uid="{D9759D44-164C-4A86-9D0D-111CF04756E2}" name="16" dataDxfId="16"/>
    <tableColumn id="17" xr3:uid="{242F2AA7-C3BB-41C9-B862-E3ABEB91C0F3}" name="17" dataDxfId="15"/>
    <tableColumn id="18" xr3:uid="{150E55D2-2240-4A5E-B8DB-703B8DA6F507}" name="18" dataDxfId="14"/>
    <tableColumn id="19" xr3:uid="{F72A0519-6BC1-483E-A633-75ADE7B01A85}" name="19" dataDxfId="13"/>
    <tableColumn id="20" xr3:uid="{7F07A61E-B520-4E0C-9D23-1EAFDA9578B2}" name="20" dataDxfId="12"/>
    <tableColumn id="21" xr3:uid="{8B6DA33A-1CAC-49F1-9E50-5AB003FCB8D1}" name="21" dataDxfId="11"/>
    <tableColumn id="22" xr3:uid="{950BA209-B5F4-44EF-BE20-A0AB2DA87955}" name="22" dataDxfId="10"/>
    <tableColumn id="23" xr3:uid="{22920ADF-E057-4F8E-8E06-A49B6300AD65}" name="23" dataDxfId="9"/>
    <tableColumn id="24" xr3:uid="{9826D9DB-5AD2-4428-ADF5-06513816DA9A}" name="24" dataDxfId="8"/>
    <tableColumn id="25" xr3:uid="{E453BF1F-FE1A-4FF1-BD41-7FA7C350C3C9}" name="25" dataDxfId="7"/>
    <tableColumn id="26" xr3:uid="{5D8740C7-51A5-42D8-9964-8612311FB81E}" name="26" dataDxfId="6"/>
    <tableColumn id="27" xr3:uid="{8C75A317-94D9-485A-A2BF-7A0E68296CF9}" name="27" dataDxfId="5"/>
    <tableColumn id="28" xr3:uid="{EEE774E4-B82C-4265-A3A6-CE66F7C84BCF}" name="28" dataDxfId="4"/>
    <tableColumn id="29" xr3:uid="{120A11C5-E238-416B-A491-A968FAD16CE8}" name="29" dataDxfId="3"/>
    <tableColumn id="30" xr3:uid="{19C563C2-8186-4705-BD52-FB14EDD792E8}" name="30" dataDxfId="2"/>
    <tableColumn id="31" xr3:uid="{3FBE03E2-3104-4A4A-930F-1CEFE2CDF9E1}" name="31" dataDxfId="1"/>
    <tableColumn id="32" xr3:uid="{D0AC4A2F-B71B-4DE2-970F-BEBE4E08AF2E}" name="TOTAL" dataDxfId="0">
      <calculatedColumnFormula>SUM(Tabela5810[[#This Row],[1]:[31]])</calculatedColumnFormula>
    </tableColumn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DD297-51C6-4210-BB4F-5F7B5390F560}">
  <sheetPr codeName="Planilha1"/>
  <dimension ref="A1:D28"/>
  <sheetViews>
    <sheetView tabSelected="1" zoomScale="50" zoomScaleNormal="50" workbookViewId="0">
      <selection activeCell="J18" sqref="J18"/>
    </sheetView>
  </sheetViews>
  <sheetFormatPr defaultRowHeight="15" x14ac:dyDescent="0.25"/>
  <cols>
    <col min="1" max="1" width="48.140625" bestFit="1" customWidth="1"/>
    <col min="2" max="2" width="27.28515625" bestFit="1" customWidth="1"/>
    <col min="3" max="3" width="35" bestFit="1" customWidth="1"/>
    <col min="4" max="4" width="27.28515625" bestFit="1" customWidth="1"/>
  </cols>
  <sheetData>
    <row r="1" spans="1:4" ht="28.5" x14ac:dyDescent="0.25">
      <c r="A1" s="11" t="s">
        <v>0</v>
      </c>
      <c r="B1" s="12" t="s">
        <v>1</v>
      </c>
      <c r="C1" s="12" t="s">
        <v>2</v>
      </c>
      <c r="D1" s="13" t="s">
        <v>3</v>
      </c>
    </row>
    <row r="2" spans="1:4" ht="28.5" x14ac:dyDescent="0.45">
      <c r="A2" s="14" t="s">
        <v>31</v>
      </c>
      <c r="B2" s="15">
        <v>300</v>
      </c>
      <c r="C2" s="15"/>
      <c r="D2" s="15" t="s">
        <v>25</v>
      </c>
    </row>
    <row r="3" spans="1:4" ht="28.5" x14ac:dyDescent="0.45">
      <c r="A3" s="14" t="s">
        <v>16</v>
      </c>
      <c r="B3" s="15"/>
      <c r="C3" s="15"/>
      <c r="D3" s="15">
        <v>-500</v>
      </c>
    </row>
    <row r="4" spans="1:4" ht="28.5" x14ac:dyDescent="0.45">
      <c r="A4" s="14" t="s">
        <v>26</v>
      </c>
      <c r="B4" s="15" t="s">
        <v>25</v>
      </c>
      <c r="C4" s="15" t="s">
        <v>25</v>
      </c>
      <c r="D4" s="15"/>
    </row>
    <row r="5" spans="1:4" ht="28.5" x14ac:dyDescent="0.45">
      <c r="A5" s="14" t="s">
        <v>14</v>
      </c>
      <c r="B5" s="15"/>
      <c r="C5" s="15"/>
      <c r="D5" s="15" t="s">
        <v>25</v>
      </c>
    </row>
    <row r="6" spans="1:4" ht="28.5" x14ac:dyDescent="0.45">
      <c r="A6" s="14" t="s">
        <v>20</v>
      </c>
      <c r="B6" s="15"/>
      <c r="C6" s="15"/>
      <c r="D6" s="15" t="s">
        <v>25</v>
      </c>
    </row>
    <row r="7" spans="1:4" ht="28.5" x14ac:dyDescent="0.45">
      <c r="A7" s="14" t="s">
        <v>9</v>
      </c>
      <c r="B7" s="15"/>
      <c r="C7" s="15"/>
      <c r="D7" s="15" t="s">
        <v>25</v>
      </c>
    </row>
    <row r="8" spans="1:4" ht="28.5" x14ac:dyDescent="0.45">
      <c r="A8" s="14" t="s">
        <v>11</v>
      </c>
      <c r="B8" s="15">
        <v>50</v>
      </c>
      <c r="C8" s="15"/>
      <c r="D8" s="15"/>
    </row>
    <row r="9" spans="1:4" ht="28.5" x14ac:dyDescent="0.45">
      <c r="A9" s="14" t="s">
        <v>4</v>
      </c>
      <c r="B9" s="15"/>
      <c r="C9" s="15"/>
      <c r="D9" s="15" t="s">
        <v>25</v>
      </c>
    </row>
    <row r="10" spans="1:4" ht="28.5" x14ac:dyDescent="0.45">
      <c r="A10" s="14" t="s">
        <v>15</v>
      </c>
      <c r="B10" s="15"/>
      <c r="C10" s="15"/>
      <c r="D10" s="15" t="s">
        <v>25</v>
      </c>
    </row>
    <row r="11" spans="1:4" ht="28.5" x14ac:dyDescent="0.45">
      <c r="A11" s="14" t="s">
        <v>10</v>
      </c>
      <c r="B11" s="15"/>
      <c r="C11" s="15"/>
      <c r="D11" s="15"/>
    </row>
    <row r="12" spans="1:4" ht="28.5" x14ac:dyDescent="0.45">
      <c r="A12" s="14" t="s">
        <v>23</v>
      </c>
      <c r="B12" s="15" t="s">
        <v>25</v>
      </c>
      <c r="C12" s="15" t="s">
        <v>25</v>
      </c>
      <c r="D12" s="15"/>
    </row>
    <row r="13" spans="1:4" ht="28.5" x14ac:dyDescent="0.45">
      <c r="A13" s="14" t="s">
        <v>27</v>
      </c>
      <c r="B13" s="15" t="s">
        <v>25</v>
      </c>
      <c r="C13" s="15" t="s">
        <v>25</v>
      </c>
      <c r="D13" s="15"/>
    </row>
    <row r="14" spans="1:4" ht="28.5" x14ac:dyDescent="0.45">
      <c r="A14" s="14" t="s">
        <v>6</v>
      </c>
      <c r="B14" s="15"/>
      <c r="C14" s="15"/>
      <c r="D14" s="15" t="s">
        <v>25</v>
      </c>
    </row>
    <row r="15" spans="1:4" ht="28.5" x14ac:dyDescent="0.45">
      <c r="A15" s="14" t="s">
        <v>12</v>
      </c>
      <c r="B15" s="15"/>
      <c r="C15" s="15"/>
      <c r="D15" s="15" t="s">
        <v>25</v>
      </c>
    </row>
    <row r="16" spans="1:4" ht="28.5" x14ac:dyDescent="0.45">
      <c r="A16" s="14" t="s">
        <v>21</v>
      </c>
      <c r="B16" s="15"/>
      <c r="C16" s="15"/>
      <c r="D16" s="15" t="s">
        <v>25</v>
      </c>
    </row>
    <row r="17" spans="1:4" ht="28.5" x14ac:dyDescent="0.45">
      <c r="A17" s="14" t="s">
        <v>22</v>
      </c>
      <c r="B17" s="15"/>
      <c r="C17" s="15"/>
      <c r="D17" s="15"/>
    </row>
    <row r="18" spans="1:4" ht="28.5" x14ac:dyDescent="0.45">
      <c r="A18" s="14" t="s">
        <v>30</v>
      </c>
      <c r="B18" s="15"/>
      <c r="C18" s="15"/>
      <c r="D18" s="15"/>
    </row>
    <row r="19" spans="1:4" ht="28.5" x14ac:dyDescent="0.45">
      <c r="A19" s="14" t="s">
        <v>13</v>
      </c>
      <c r="B19" s="15"/>
      <c r="C19" s="15"/>
      <c r="D19" s="15" t="s">
        <v>25</v>
      </c>
    </row>
    <row r="20" spans="1:4" ht="28.5" x14ac:dyDescent="0.45">
      <c r="A20" s="14" t="s">
        <v>7</v>
      </c>
      <c r="B20" s="15"/>
      <c r="C20" s="15"/>
      <c r="D20" s="15" t="s">
        <v>25</v>
      </c>
    </row>
    <row r="21" spans="1:4" ht="28.5" x14ac:dyDescent="0.45">
      <c r="A21" s="14" t="s">
        <v>8</v>
      </c>
      <c r="B21" s="15"/>
      <c r="C21" s="15"/>
      <c r="D21" s="15"/>
    </row>
    <row r="22" spans="1:4" ht="28.5" x14ac:dyDescent="0.45">
      <c r="A22" s="14" t="s">
        <v>17</v>
      </c>
      <c r="B22" s="15"/>
      <c r="C22" s="15"/>
      <c r="D22" s="15" t="s">
        <v>25</v>
      </c>
    </row>
    <row r="23" spans="1:4" ht="28.5" x14ac:dyDescent="0.45">
      <c r="A23" s="14" t="s">
        <v>24</v>
      </c>
      <c r="B23" s="15"/>
      <c r="C23" s="15"/>
      <c r="D23" s="15"/>
    </row>
    <row r="24" spans="1:4" ht="28.5" x14ac:dyDescent="0.45">
      <c r="A24" s="14" t="s">
        <v>18</v>
      </c>
      <c r="B24" s="15" t="s">
        <v>25</v>
      </c>
      <c r="C24" s="15" t="s">
        <v>25</v>
      </c>
      <c r="D24" s="15"/>
    </row>
    <row r="25" spans="1:4" ht="28.5" x14ac:dyDescent="0.45">
      <c r="A25" s="14" t="s">
        <v>5</v>
      </c>
      <c r="B25" s="15"/>
      <c r="C25" s="15"/>
      <c r="D25" s="15" t="s">
        <v>25</v>
      </c>
    </row>
    <row r="26" spans="1:4" ht="28.5" x14ac:dyDescent="0.45">
      <c r="A26" s="14" t="s">
        <v>28</v>
      </c>
      <c r="B26" s="15"/>
      <c r="C26" s="15"/>
      <c r="D26" s="15" t="s">
        <v>25</v>
      </c>
    </row>
    <row r="27" spans="1:4" ht="28.5" x14ac:dyDescent="0.45">
      <c r="A27" s="14" t="s">
        <v>19</v>
      </c>
      <c r="B27" s="15"/>
      <c r="C27" s="15"/>
      <c r="D27" s="15"/>
    </row>
    <row r="28" spans="1:4" ht="28.5" x14ac:dyDescent="0.45">
      <c r="A28" s="16" t="s">
        <v>29</v>
      </c>
      <c r="B28" s="15"/>
      <c r="C28" s="15"/>
      <c r="D28" s="15" t="s">
        <v>25</v>
      </c>
    </row>
  </sheetData>
  <conditionalFormatting sqref="B2:D28">
    <cfRule type="containsBlanks" dxfId="133" priority="1">
      <formula>LEN(TRIM(B2))=0</formula>
    </cfRule>
    <cfRule type="containsText" dxfId="132" priority="2" operator="containsText" text="X">
      <formula>NOT(ISERROR(SEARCH("X",B2)))</formula>
    </cfRule>
    <cfRule type="cellIs" dxfId="131" priority="3" operator="greaterThan">
      <formula>100</formula>
    </cfRule>
    <cfRule type="cellIs" dxfId="130" priority="4" operator="between">
      <formula>1</formula>
      <formula>100</formula>
    </cfRule>
    <cfRule type="cellIs" dxfId="129" priority="5" operator="lessThan">
      <formula>1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MostrarUserFormRemoverCopos">
                <anchor moveWithCells="1">
                  <from>
                    <xdr:col>4</xdr:col>
                    <xdr:colOff>571500</xdr:colOff>
                    <xdr:row>8</xdr:row>
                    <xdr:rowOff>123825</xdr:rowOff>
                  </from>
                  <to>
                    <xdr:col>10</xdr:col>
                    <xdr:colOff>590550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MostrarUserFormAdicionarCopos">
                <anchor moveWithCells="1">
                  <from>
                    <xdr:col>4</xdr:col>
                    <xdr:colOff>609600</xdr:colOff>
                    <xdr:row>1</xdr:row>
                    <xdr:rowOff>19050</xdr:rowOff>
                  </from>
                  <to>
                    <xdr:col>10</xdr:col>
                    <xdr:colOff>571500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LimparIntervalo">
                <anchor moveWithCells="1">
                  <from>
                    <xdr:col>33</xdr:col>
                    <xdr:colOff>133350</xdr:colOff>
                    <xdr:row>0</xdr:row>
                    <xdr:rowOff>333375</xdr:rowOff>
                  </from>
                  <to>
                    <xdr:col>39</xdr:col>
                    <xdr:colOff>209550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CEB62-7196-4BE9-964B-5A08404EC33F}">
  <sheetPr codeName="Planilha5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3454B5-9B53-426D-A95D-BB5A9D667B38}">
  <sheetPr codeName="Planilha2"/>
  <dimension ref="A1:AG23"/>
  <sheetViews>
    <sheetView zoomScale="80" zoomScaleNormal="80" workbookViewId="0">
      <pane xSplit="1" ySplit="1" topLeftCell="B8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5" x14ac:dyDescent="0.25"/>
  <cols>
    <col min="1" max="1" width="44.5703125" bestFit="1" customWidth="1"/>
    <col min="2" max="2" width="10.28515625" bestFit="1" customWidth="1"/>
    <col min="3" max="10" width="11.28515625" customWidth="1"/>
    <col min="11" max="32" width="12.5703125" customWidth="1"/>
    <col min="33" max="33" width="24.85546875" bestFit="1" customWidth="1"/>
  </cols>
  <sheetData>
    <row r="1" spans="1:33" ht="28.5" x14ac:dyDescent="0.45">
      <c r="A1" s="1" t="s">
        <v>0</v>
      </c>
      <c r="B1" s="2" t="s">
        <v>33</v>
      </c>
      <c r="C1" s="3" t="s">
        <v>34</v>
      </c>
      <c r="D1" s="2" t="s">
        <v>35</v>
      </c>
      <c r="E1" s="3" t="s">
        <v>36</v>
      </c>
      <c r="F1" s="2" t="s">
        <v>37</v>
      </c>
      <c r="G1" s="3" t="s">
        <v>38</v>
      </c>
      <c r="H1" s="2" t="s">
        <v>39</v>
      </c>
      <c r="I1" s="3" t="s">
        <v>40</v>
      </c>
      <c r="J1" s="2" t="s">
        <v>41</v>
      </c>
      <c r="K1" s="3" t="s">
        <v>42</v>
      </c>
      <c r="L1" s="2" t="s">
        <v>43</v>
      </c>
      <c r="M1" s="3" t="s">
        <v>44</v>
      </c>
      <c r="N1" s="2" t="s">
        <v>45</v>
      </c>
      <c r="O1" s="3" t="s">
        <v>46</v>
      </c>
      <c r="P1" s="2" t="s">
        <v>47</v>
      </c>
      <c r="Q1" s="3" t="s">
        <v>48</v>
      </c>
      <c r="R1" s="2" t="s">
        <v>49</v>
      </c>
      <c r="S1" s="3" t="s">
        <v>50</v>
      </c>
      <c r="T1" s="2" t="s">
        <v>51</v>
      </c>
      <c r="U1" s="3" t="s">
        <v>52</v>
      </c>
      <c r="V1" s="2" t="s">
        <v>53</v>
      </c>
      <c r="W1" s="3" t="s">
        <v>54</v>
      </c>
      <c r="X1" s="2" t="s">
        <v>55</v>
      </c>
      <c r="Y1" s="3" t="s">
        <v>56</v>
      </c>
      <c r="Z1" s="2" t="s">
        <v>57</v>
      </c>
      <c r="AA1" s="3" t="s">
        <v>58</v>
      </c>
      <c r="AB1" s="2" t="s">
        <v>59</v>
      </c>
      <c r="AC1" s="3" t="s">
        <v>60</v>
      </c>
      <c r="AD1" s="2" t="s">
        <v>61</v>
      </c>
      <c r="AE1" s="3" t="s">
        <v>62</v>
      </c>
      <c r="AF1" s="2" t="s">
        <v>63</v>
      </c>
      <c r="AG1" s="8" t="s">
        <v>64</v>
      </c>
    </row>
    <row r="2" spans="1:33" ht="28.5" x14ac:dyDescent="0.45">
      <c r="A2" s="5" t="s">
        <v>31</v>
      </c>
      <c r="B2" s="4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6"/>
      <c r="AG2" s="8">
        <f>SUM(Tabela5[[#This Row],[1]:[31]])</f>
        <v>0</v>
      </c>
    </row>
    <row r="3" spans="1:33" ht="28.5" x14ac:dyDescent="0.45">
      <c r="A3" s="5" t="s">
        <v>14</v>
      </c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6"/>
      <c r="AG3" s="9">
        <f>SUM(Tabela5[[#This Row],[1]:[31]])</f>
        <v>0</v>
      </c>
    </row>
    <row r="4" spans="1:33" ht="28.5" x14ac:dyDescent="0.45">
      <c r="A4" s="5" t="s">
        <v>20</v>
      </c>
      <c r="B4" s="4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6"/>
      <c r="AG4" s="9">
        <f>SUM(Tabela5[[#This Row],[1]:[31]])</f>
        <v>0</v>
      </c>
    </row>
    <row r="5" spans="1:33" ht="28.5" x14ac:dyDescent="0.45">
      <c r="A5" s="5" t="s">
        <v>9</v>
      </c>
      <c r="B5" s="4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6"/>
      <c r="AG5" s="9">
        <f>SUM(Tabela5[[#This Row],[1]:[31]])</f>
        <v>0</v>
      </c>
    </row>
    <row r="6" spans="1:33" ht="28.5" x14ac:dyDescent="0.45">
      <c r="A6" s="5" t="s">
        <v>11</v>
      </c>
      <c r="B6" s="4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6"/>
      <c r="AG6" s="9">
        <f>SUM(Tabela5[[#This Row],[1]:[31]])</f>
        <v>0</v>
      </c>
    </row>
    <row r="7" spans="1:33" ht="28.5" x14ac:dyDescent="0.45">
      <c r="A7" s="5" t="s">
        <v>4</v>
      </c>
      <c r="B7" s="4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6"/>
      <c r="AG7" s="9">
        <f>SUM(Tabela5[[#This Row],[1]:[31]])</f>
        <v>0</v>
      </c>
    </row>
    <row r="8" spans="1:33" ht="28.5" x14ac:dyDescent="0.45">
      <c r="A8" s="5" t="s">
        <v>15</v>
      </c>
      <c r="B8" s="4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6"/>
      <c r="AG8" s="9">
        <f>SUM(Tabela5[[#This Row],[1]:[31]])</f>
        <v>0</v>
      </c>
    </row>
    <row r="9" spans="1:33" ht="28.5" x14ac:dyDescent="0.45">
      <c r="A9" s="5" t="s">
        <v>10</v>
      </c>
      <c r="B9" s="4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6"/>
      <c r="AG9" s="9">
        <f>SUM(Tabela5[[#This Row],[1]:[31]])</f>
        <v>0</v>
      </c>
    </row>
    <row r="10" spans="1:33" ht="28.5" x14ac:dyDescent="0.45">
      <c r="A10" s="5" t="s">
        <v>6</v>
      </c>
      <c r="B10" s="4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6"/>
      <c r="AG10" s="9">
        <f>SUM(Tabela5[[#This Row],[1]:[31]])</f>
        <v>0</v>
      </c>
    </row>
    <row r="11" spans="1:33" ht="28.5" x14ac:dyDescent="0.45">
      <c r="A11" s="5" t="s">
        <v>12</v>
      </c>
      <c r="B11" s="4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6"/>
      <c r="AG11" s="9">
        <f>SUM(Tabela5[[#This Row],[1]:[31]])</f>
        <v>0</v>
      </c>
    </row>
    <row r="12" spans="1:33" ht="28.5" x14ac:dyDescent="0.45">
      <c r="A12" s="5" t="s">
        <v>21</v>
      </c>
      <c r="B12" s="4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6"/>
      <c r="AG12" s="9">
        <f>SUM(Tabela5[[#This Row],[1]:[31]])</f>
        <v>0</v>
      </c>
    </row>
    <row r="13" spans="1:33" ht="28.5" x14ac:dyDescent="0.45">
      <c r="A13" s="5" t="s">
        <v>22</v>
      </c>
      <c r="B13" s="4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6"/>
      <c r="AG13" s="9">
        <f>SUM(Tabela5[[#This Row],[1]:[31]])</f>
        <v>0</v>
      </c>
    </row>
    <row r="14" spans="1:33" ht="28.5" x14ac:dyDescent="0.45">
      <c r="A14" s="5" t="s">
        <v>32</v>
      </c>
      <c r="B14" s="4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6"/>
      <c r="AG14" s="9">
        <f>SUM(Tabela5[[#This Row],[1]:[31]])</f>
        <v>0</v>
      </c>
    </row>
    <row r="15" spans="1:33" ht="28.5" x14ac:dyDescent="0.45">
      <c r="A15" s="5" t="s">
        <v>13</v>
      </c>
      <c r="B15" s="4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6"/>
      <c r="AG15" s="9">
        <f>SUM(Tabela5[[#This Row],[1]:[31]])</f>
        <v>0</v>
      </c>
    </row>
    <row r="16" spans="1:33" ht="28.5" x14ac:dyDescent="0.45">
      <c r="A16" s="5" t="s">
        <v>7</v>
      </c>
      <c r="B16" s="4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6"/>
      <c r="AG16" s="9">
        <f>SUM(Tabela5[[#This Row],[1]:[31]])</f>
        <v>0</v>
      </c>
    </row>
    <row r="17" spans="1:33" ht="28.5" x14ac:dyDescent="0.45">
      <c r="A17" s="5" t="s">
        <v>8</v>
      </c>
      <c r="B17" s="4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6"/>
      <c r="AG17" s="9">
        <f>SUM(Tabela5[[#This Row],[1]:[31]])</f>
        <v>0</v>
      </c>
    </row>
    <row r="18" spans="1:33" ht="28.5" x14ac:dyDescent="0.45">
      <c r="A18" s="5" t="s">
        <v>17</v>
      </c>
      <c r="B18" s="4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6"/>
      <c r="AG18" s="9">
        <f>SUM(Tabela5[[#This Row],[1]:[31]])</f>
        <v>0</v>
      </c>
    </row>
    <row r="19" spans="1:33" ht="28.5" x14ac:dyDescent="0.45">
      <c r="A19" s="5" t="s">
        <v>18</v>
      </c>
      <c r="B19" s="4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6"/>
      <c r="AG19" s="9">
        <f>SUM(Tabela5[[#This Row],[1]:[31]])</f>
        <v>0</v>
      </c>
    </row>
    <row r="20" spans="1:33" ht="28.5" x14ac:dyDescent="0.45">
      <c r="A20" s="5" t="s">
        <v>5</v>
      </c>
      <c r="B20" s="4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6"/>
      <c r="AG20" s="9">
        <f>SUM(Tabela5[[#This Row],[1]:[31]])</f>
        <v>0</v>
      </c>
    </row>
    <row r="21" spans="1:33" ht="28.5" x14ac:dyDescent="0.45">
      <c r="A21" s="5" t="s">
        <v>28</v>
      </c>
      <c r="B21" s="4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6"/>
      <c r="AG21" s="9">
        <f>SUM(Tabela5[[#This Row],[1]:[31]])</f>
        <v>0</v>
      </c>
    </row>
    <row r="22" spans="1:33" ht="28.5" x14ac:dyDescent="0.45">
      <c r="A22" s="5" t="s">
        <v>19</v>
      </c>
      <c r="B22" s="4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6"/>
      <c r="AG22" s="9">
        <f>SUM(Tabela5[[#This Row],[1]:[31]])</f>
        <v>0</v>
      </c>
    </row>
    <row r="23" spans="1:33" ht="28.5" x14ac:dyDescent="0.45">
      <c r="A23" s="5" t="s">
        <v>29</v>
      </c>
      <c r="B23" s="4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6"/>
      <c r="AG23" s="10">
        <f>SUM(Tabela5[[#This Row],[1]:[31]])</f>
        <v>0</v>
      </c>
    </row>
  </sheetData>
  <phoneticPr fontId="1" type="noConversion"/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7DB00-B2F2-4137-B9F3-16CB99F68843}">
  <sheetPr codeName="Planilha3"/>
  <dimension ref="A1:AG23"/>
  <sheetViews>
    <sheetView zoomScale="80" zoomScaleNormal="8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5" x14ac:dyDescent="0.25"/>
  <cols>
    <col min="1" max="1" width="44" bestFit="1" customWidth="1"/>
    <col min="2" max="9" width="11.85546875" bestFit="1" customWidth="1"/>
    <col min="10" max="10" width="11.85546875" customWidth="1"/>
    <col min="11" max="18" width="13.7109375" bestFit="1" customWidth="1"/>
    <col min="20" max="20" width="13.7109375" bestFit="1" customWidth="1"/>
    <col min="26" max="27" width="13.7109375" bestFit="1" customWidth="1"/>
  </cols>
  <sheetData>
    <row r="1" spans="1:33" ht="28.5" x14ac:dyDescent="0.45">
      <c r="A1" s="1" t="s">
        <v>0</v>
      </c>
      <c r="B1" s="2" t="s">
        <v>33</v>
      </c>
      <c r="C1" s="3" t="s">
        <v>34</v>
      </c>
      <c r="D1" s="2" t="s">
        <v>35</v>
      </c>
      <c r="E1" s="3" t="s">
        <v>36</v>
      </c>
      <c r="F1" s="2" t="s">
        <v>37</v>
      </c>
      <c r="G1" s="3" t="s">
        <v>38</v>
      </c>
      <c r="H1" s="2" t="s">
        <v>39</v>
      </c>
      <c r="I1" s="3" t="s">
        <v>40</v>
      </c>
      <c r="J1" s="2" t="s">
        <v>41</v>
      </c>
      <c r="K1" s="3" t="s">
        <v>42</v>
      </c>
      <c r="L1" s="2" t="s">
        <v>43</v>
      </c>
      <c r="M1" s="3" t="s">
        <v>44</v>
      </c>
      <c r="N1" s="2" t="s">
        <v>45</v>
      </c>
      <c r="O1" s="3" t="s">
        <v>46</v>
      </c>
      <c r="P1" s="2" t="s">
        <v>47</v>
      </c>
      <c r="Q1" s="3" t="s">
        <v>48</v>
      </c>
      <c r="R1" s="2" t="s">
        <v>49</v>
      </c>
      <c r="S1" s="3" t="s">
        <v>50</v>
      </c>
      <c r="T1" s="2" t="s">
        <v>51</v>
      </c>
      <c r="U1" s="3" t="s">
        <v>52</v>
      </c>
      <c r="V1" s="2" t="s">
        <v>53</v>
      </c>
      <c r="W1" s="3" t="s">
        <v>54</v>
      </c>
      <c r="X1" s="2" t="s">
        <v>55</v>
      </c>
      <c r="Y1" s="3" t="s">
        <v>56</v>
      </c>
      <c r="Z1" s="2" t="s">
        <v>57</v>
      </c>
      <c r="AA1" s="3" t="s">
        <v>58</v>
      </c>
      <c r="AB1" s="2" t="s">
        <v>59</v>
      </c>
      <c r="AC1" s="3" t="s">
        <v>60</v>
      </c>
      <c r="AD1" s="2" t="s">
        <v>61</v>
      </c>
      <c r="AE1" s="3" t="s">
        <v>62</v>
      </c>
      <c r="AF1" s="2" t="s">
        <v>63</v>
      </c>
      <c r="AG1" s="8" t="s">
        <v>64</v>
      </c>
    </row>
    <row r="2" spans="1:33" ht="28.5" x14ac:dyDescent="0.45">
      <c r="A2" s="5" t="s">
        <v>31</v>
      </c>
      <c r="B2" s="4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6"/>
      <c r="AG2" s="8">
        <f>SUM(Tabela58[[#This Row],[1]:[31]])</f>
        <v>0</v>
      </c>
    </row>
    <row r="3" spans="1:33" ht="28.5" x14ac:dyDescent="0.45">
      <c r="A3" s="5" t="s">
        <v>14</v>
      </c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6"/>
      <c r="AG3" s="9">
        <f>SUM(Tabela58[[#This Row],[1]:[31]])</f>
        <v>0</v>
      </c>
    </row>
    <row r="4" spans="1:33" ht="28.5" x14ac:dyDescent="0.45">
      <c r="A4" s="5" t="s">
        <v>20</v>
      </c>
      <c r="B4" s="4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6"/>
      <c r="AG4" s="9">
        <f>SUM(Tabela58[[#This Row],[1]:[31]])</f>
        <v>0</v>
      </c>
    </row>
    <row r="5" spans="1:33" ht="28.5" x14ac:dyDescent="0.45">
      <c r="A5" s="5" t="s">
        <v>9</v>
      </c>
      <c r="B5" s="4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6"/>
      <c r="AG5" s="9">
        <f>SUM(Tabela58[[#This Row],[1]:[31]])</f>
        <v>0</v>
      </c>
    </row>
    <row r="6" spans="1:33" ht="28.5" x14ac:dyDescent="0.45">
      <c r="A6" s="5" t="s">
        <v>11</v>
      </c>
      <c r="B6" s="4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6"/>
      <c r="AG6" s="9">
        <f>SUM(Tabela58[[#This Row],[1]:[31]])</f>
        <v>0</v>
      </c>
    </row>
    <row r="7" spans="1:33" ht="28.5" x14ac:dyDescent="0.45">
      <c r="A7" s="5" t="s">
        <v>4</v>
      </c>
      <c r="B7" s="4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6"/>
      <c r="AG7" s="9">
        <f>SUM(Tabela58[[#This Row],[1]:[31]])</f>
        <v>0</v>
      </c>
    </row>
    <row r="8" spans="1:33" ht="28.5" x14ac:dyDescent="0.45">
      <c r="A8" s="5" t="s">
        <v>15</v>
      </c>
      <c r="B8" s="4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6"/>
      <c r="AG8" s="9">
        <f>SUM(Tabela58[[#This Row],[1]:[31]])</f>
        <v>0</v>
      </c>
    </row>
    <row r="9" spans="1:33" ht="28.5" x14ac:dyDescent="0.45">
      <c r="A9" s="5" t="s">
        <v>10</v>
      </c>
      <c r="B9" s="4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6"/>
      <c r="AG9" s="9">
        <f>SUM(Tabela58[[#This Row],[1]:[31]])</f>
        <v>0</v>
      </c>
    </row>
    <row r="10" spans="1:33" ht="28.5" x14ac:dyDescent="0.45">
      <c r="A10" s="5" t="s">
        <v>6</v>
      </c>
      <c r="B10" s="4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6"/>
      <c r="AG10" s="9">
        <f>SUM(Tabela58[[#This Row],[1]:[31]])</f>
        <v>0</v>
      </c>
    </row>
    <row r="11" spans="1:33" ht="28.5" x14ac:dyDescent="0.45">
      <c r="A11" s="5" t="s">
        <v>12</v>
      </c>
      <c r="B11" s="4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6"/>
      <c r="AG11" s="9">
        <f>SUM(Tabela58[[#This Row],[1]:[31]])</f>
        <v>0</v>
      </c>
    </row>
    <row r="12" spans="1:33" ht="28.5" x14ac:dyDescent="0.45">
      <c r="A12" s="5" t="s">
        <v>21</v>
      </c>
      <c r="B12" s="4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6"/>
      <c r="AG12" s="9">
        <f>SUM(Tabela58[[#This Row],[1]:[31]])</f>
        <v>0</v>
      </c>
    </row>
    <row r="13" spans="1:33" ht="28.5" x14ac:dyDescent="0.45">
      <c r="A13" s="5" t="s">
        <v>22</v>
      </c>
      <c r="B13" s="4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6"/>
      <c r="AG13" s="9">
        <f>SUM(Tabela58[[#This Row],[1]:[31]])</f>
        <v>0</v>
      </c>
    </row>
    <row r="14" spans="1:33" ht="28.5" x14ac:dyDescent="0.45">
      <c r="A14" s="5" t="s">
        <v>32</v>
      </c>
      <c r="B14" s="4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6"/>
      <c r="AG14" s="9">
        <f>SUM(Tabela58[[#This Row],[1]:[31]])</f>
        <v>0</v>
      </c>
    </row>
    <row r="15" spans="1:33" ht="28.5" x14ac:dyDescent="0.45">
      <c r="A15" s="5" t="s">
        <v>13</v>
      </c>
      <c r="B15" s="4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6"/>
      <c r="AG15" s="9">
        <f>SUM(Tabela58[[#This Row],[1]:[31]])</f>
        <v>0</v>
      </c>
    </row>
    <row r="16" spans="1:33" ht="28.5" x14ac:dyDescent="0.45">
      <c r="A16" s="5" t="s">
        <v>7</v>
      </c>
      <c r="B16" s="4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6"/>
      <c r="AG16" s="9">
        <f>SUM(Tabela58[[#This Row],[1]:[31]])</f>
        <v>0</v>
      </c>
    </row>
    <row r="17" spans="1:33" ht="28.5" x14ac:dyDescent="0.45">
      <c r="A17" s="5" t="s">
        <v>8</v>
      </c>
      <c r="B17" s="4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6"/>
      <c r="AG17" s="9">
        <f>SUM(Tabela58[[#This Row],[1]:[31]])</f>
        <v>0</v>
      </c>
    </row>
    <row r="18" spans="1:33" ht="28.5" x14ac:dyDescent="0.45">
      <c r="A18" s="5" t="s">
        <v>17</v>
      </c>
      <c r="B18" s="4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6"/>
      <c r="AG18" s="9">
        <f>SUM(Tabela58[[#This Row],[1]:[31]])</f>
        <v>0</v>
      </c>
    </row>
    <row r="19" spans="1:33" ht="28.5" x14ac:dyDescent="0.45">
      <c r="A19" s="5" t="s">
        <v>18</v>
      </c>
      <c r="B19" s="4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6"/>
      <c r="AG19" s="9">
        <f>SUM(Tabela58[[#This Row],[1]:[31]])</f>
        <v>0</v>
      </c>
    </row>
    <row r="20" spans="1:33" ht="28.5" x14ac:dyDescent="0.45">
      <c r="A20" s="5" t="s">
        <v>5</v>
      </c>
      <c r="B20" s="4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6"/>
      <c r="AG20" s="9">
        <f>SUM(Tabela58[[#This Row],[1]:[31]])</f>
        <v>0</v>
      </c>
    </row>
    <row r="21" spans="1:33" ht="28.5" x14ac:dyDescent="0.45">
      <c r="A21" s="5" t="s">
        <v>28</v>
      </c>
      <c r="B21" s="4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6"/>
      <c r="AG21" s="9">
        <f>SUM(Tabela58[[#This Row],[1]:[31]])</f>
        <v>0</v>
      </c>
    </row>
    <row r="22" spans="1:33" ht="28.5" x14ac:dyDescent="0.45">
      <c r="A22" s="5" t="s">
        <v>19</v>
      </c>
      <c r="B22" s="4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6"/>
      <c r="AG22" s="9">
        <f>SUM(Tabela58[[#This Row],[1]:[31]])</f>
        <v>0</v>
      </c>
    </row>
    <row r="23" spans="1:33" ht="28.5" x14ac:dyDescent="0.45">
      <c r="A23" s="5" t="s">
        <v>29</v>
      </c>
      <c r="B23" s="4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6"/>
      <c r="AG23" s="10">
        <f>SUM(Tabela58[[#This Row],[1]:[31]])</f>
        <v>0</v>
      </c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CC8A5-6BF3-4E5F-8D00-2EACEDCF63BD}">
  <sheetPr codeName="Planilha4"/>
  <dimension ref="A1:AG13"/>
  <sheetViews>
    <sheetView zoomScale="90" zoomScaleNormal="9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5" x14ac:dyDescent="0.25"/>
  <cols>
    <col min="1" max="1" width="44" bestFit="1" customWidth="1"/>
  </cols>
  <sheetData>
    <row r="1" spans="1:33" ht="28.5" x14ac:dyDescent="0.45">
      <c r="A1" s="1" t="s">
        <v>0</v>
      </c>
      <c r="B1" s="2" t="s">
        <v>33</v>
      </c>
      <c r="C1" s="3" t="s">
        <v>34</v>
      </c>
      <c r="D1" s="2" t="s">
        <v>35</v>
      </c>
      <c r="E1" s="3" t="s">
        <v>36</v>
      </c>
      <c r="F1" s="2" t="s">
        <v>37</v>
      </c>
      <c r="G1" s="3" t="s">
        <v>38</v>
      </c>
      <c r="H1" s="2" t="s">
        <v>39</v>
      </c>
      <c r="I1" s="3" t="s">
        <v>40</v>
      </c>
      <c r="J1" s="2" t="s">
        <v>41</v>
      </c>
      <c r="K1" s="3" t="s">
        <v>42</v>
      </c>
      <c r="L1" s="2" t="s">
        <v>43</v>
      </c>
      <c r="M1" s="3" t="s">
        <v>44</v>
      </c>
      <c r="N1" s="2" t="s">
        <v>45</v>
      </c>
      <c r="O1" s="3" t="s">
        <v>46</v>
      </c>
      <c r="P1" s="2" t="s">
        <v>47</v>
      </c>
      <c r="Q1" s="3" t="s">
        <v>48</v>
      </c>
      <c r="R1" s="2" t="s">
        <v>49</v>
      </c>
      <c r="S1" s="3" t="s">
        <v>50</v>
      </c>
      <c r="T1" s="2" t="s">
        <v>51</v>
      </c>
      <c r="U1" s="3" t="s">
        <v>52</v>
      </c>
      <c r="V1" s="2" t="s">
        <v>53</v>
      </c>
      <c r="W1" s="3" t="s">
        <v>54</v>
      </c>
      <c r="X1" s="2" t="s">
        <v>55</v>
      </c>
      <c r="Y1" s="3" t="s">
        <v>56</v>
      </c>
      <c r="Z1" s="2" t="s">
        <v>57</v>
      </c>
      <c r="AA1" s="3" t="s">
        <v>58</v>
      </c>
      <c r="AB1" s="2" t="s">
        <v>59</v>
      </c>
      <c r="AC1" s="3" t="s">
        <v>60</v>
      </c>
      <c r="AD1" s="2" t="s">
        <v>61</v>
      </c>
      <c r="AE1" s="3" t="s">
        <v>62</v>
      </c>
      <c r="AF1" s="2" t="s">
        <v>63</v>
      </c>
      <c r="AG1" s="8" t="s">
        <v>64</v>
      </c>
    </row>
    <row r="2" spans="1:33" ht="28.5" x14ac:dyDescent="0.45">
      <c r="A2" s="7" t="s">
        <v>16</v>
      </c>
      <c r="B2" s="4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6"/>
      <c r="AG2" s="9">
        <f>SUM(Tabela5810[[#This Row],[1]:[31]])</f>
        <v>0</v>
      </c>
    </row>
    <row r="3" spans="1:33" ht="28.5" x14ac:dyDescent="0.45">
      <c r="A3" s="7" t="s">
        <v>26</v>
      </c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6"/>
      <c r="AG3" s="9">
        <f>SUM(Tabela5810[[#This Row],[1]:[31]])</f>
        <v>0</v>
      </c>
    </row>
    <row r="4" spans="1:33" ht="28.5" x14ac:dyDescent="0.45">
      <c r="A4" s="7" t="s">
        <v>11</v>
      </c>
      <c r="B4" s="4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6"/>
      <c r="AG4" s="9">
        <f>SUM(Tabela5810[[#This Row],[1]:[31]])</f>
        <v>0</v>
      </c>
    </row>
    <row r="5" spans="1:33" ht="28.5" x14ac:dyDescent="0.45">
      <c r="A5" s="7" t="s">
        <v>10</v>
      </c>
      <c r="B5" s="4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6"/>
      <c r="AG5" s="9">
        <f>SUM(Tabela5810[[#This Row],[1]:[31]])</f>
        <v>0</v>
      </c>
    </row>
    <row r="6" spans="1:33" ht="28.5" x14ac:dyDescent="0.45">
      <c r="A6" s="7" t="s">
        <v>23</v>
      </c>
      <c r="B6" s="4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6"/>
      <c r="AG6" s="9">
        <f>SUM(Tabela5810[[#This Row],[1]:[31]])</f>
        <v>0</v>
      </c>
    </row>
    <row r="7" spans="1:33" ht="28.5" x14ac:dyDescent="0.45">
      <c r="A7" s="7" t="s">
        <v>27</v>
      </c>
      <c r="B7" s="4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6"/>
      <c r="AG7" s="9">
        <f>SUM(Tabela5810[[#This Row],[1]:[31]])</f>
        <v>0</v>
      </c>
    </row>
    <row r="8" spans="1:33" ht="28.5" x14ac:dyDescent="0.45">
      <c r="A8" s="7" t="s">
        <v>22</v>
      </c>
      <c r="B8" s="4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6"/>
      <c r="AG8" s="9">
        <f>SUM(Tabela5810[[#This Row],[1]:[31]])</f>
        <v>0</v>
      </c>
    </row>
    <row r="9" spans="1:33" ht="28.5" x14ac:dyDescent="0.45">
      <c r="A9" s="7" t="s">
        <v>65</v>
      </c>
      <c r="B9" s="4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6"/>
      <c r="AG9" s="9">
        <f>SUM(Tabela5810[[#This Row],[1]:[31]])</f>
        <v>0</v>
      </c>
    </row>
    <row r="10" spans="1:33" ht="28.5" x14ac:dyDescent="0.45">
      <c r="A10" s="7" t="s">
        <v>8</v>
      </c>
      <c r="B10" s="4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6"/>
      <c r="AG10" s="9">
        <f>SUM(Tabela5810[[#This Row],[1]:[31]])</f>
        <v>0</v>
      </c>
    </row>
    <row r="11" spans="1:33" ht="28.5" x14ac:dyDescent="0.45">
      <c r="A11" s="7" t="s">
        <v>24</v>
      </c>
      <c r="B11" s="4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6"/>
      <c r="AG11" s="9">
        <f>SUM(Tabela5810[[#This Row],[1]:[31]])</f>
        <v>0</v>
      </c>
    </row>
    <row r="12" spans="1:33" ht="28.5" x14ac:dyDescent="0.45">
      <c r="A12" s="7" t="s">
        <v>18</v>
      </c>
      <c r="B12" s="4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6"/>
      <c r="AG12" s="9">
        <f>SUM(Tabela5810[[#This Row],[1]:[31]])</f>
        <v>0</v>
      </c>
    </row>
    <row r="13" spans="1:33" ht="28.5" x14ac:dyDescent="0.45">
      <c r="A13" s="7" t="s">
        <v>19</v>
      </c>
      <c r="B13" s="4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6"/>
      <c r="AG13" s="9">
        <f>SUM(Tabela5810[[#This Row],[1]:[31]])</f>
        <v>0</v>
      </c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D4E946A9A0AE84E9DA87CDA95DB11DF" ma:contentTypeVersion="8" ma:contentTypeDescription="Create a new document." ma:contentTypeScope="" ma:versionID="9c0df6c2b14fad53b8d29e1379c0982c">
  <xsd:schema xmlns:xsd="http://www.w3.org/2001/XMLSchema" xmlns:xs="http://www.w3.org/2001/XMLSchema" xmlns:p="http://schemas.microsoft.com/office/2006/metadata/properties" xmlns:ns3="53114aab-23d5-4c61-b27d-c52731a736fe" targetNamespace="http://schemas.microsoft.com/office/2006/metadata/properties" ma:root="true" ma:fieldsID="9851a7b5e8a9eb7e4fe2c48c8c29ed19" ns3:_="">
    <xsd:import namespace="53114aab-23d5-4c61-b27d-c52731a736f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3114aab-23d5-4c61-b27d-c52731a736f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91A98CE-1406-4EE9-87D8-1979740F751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BF454BB-7E0F-48C3-B09B-1A27EB283E5A}">
  <ds:schemaRefs>
    <ds:schemaRef ds:uri="http://schemas.microsoft.com/office/infopath/2007/PartnerControls"/>
    <ds:schemaRef ds:uri="http://purl.org/dc/elements/1.1/"/>
    <ds:schemaRef ds:uri="http://purl.org/dc/terms/"/>
    <ds:schemaRef ds:uri="http://schemas.microsoft.com/office/2006/metadata/properties"/>
    <ds:schemaRef ds:uri="http://www.w3.org/XML/1998/namespace"/>
    <ds:schemaRef ds:uri="53114aab-23d5-4c61-b27d-c52731a736fe"/>
    <ds:schemaRef ds:uri="http://schemas.microsoft.com/office/2006/documentManagement/types"/>
    <ds:schemaRef ds:uri="http://purl.org/dc/dcmitype/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63715E6B-B019-419C-95A2-679268A3831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3114aab-23d5-4c61-b27d-c52731a736f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Geral</vt:lpstr>
      <vt:lpstr>Planejamento</vt:lpstr>
      <vt:lpstr>Twister</vt:lpstr>
      <vt:lpstr>Long Drink</vt:lpstr>
      <vt:lpstr>Pop Cup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HUGO HENRIQUE LOURENCO</dc:creator>
  <cp:lastModifiedBy>HUGO HENRIQUE LOURENCO</cp:lastModifiedBy>
  <dcterms:created xsi:type="dcterms:W3CDTF">2024-05-19T12:21:09Z</dcterms:created>
  <dcterms:modified xsi:type="dcterms:W3CDTF">2024-05-19T22:42:01Z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0x010100BD4E946A9A0AE84E9DA87CDA95DB11DF</vt:lpwstr>
  </property>
</Properties>
</file>