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0E8FF852-4D97-448D-89A4-72664612E9AF}" xr6:coauthVersionLast="47" xr6:coauthVersionMax="47" xr10:uidLastSave="{00000000-0000-0000-0000-000000000000}"/>
  <bookViews>
    <workbookView xWindow="-120" yWindow="-120" windowWidth="21840" windowHeight="13140" xr2:uid="{E6ED1D82-984C-45F8-8937-FF050AD2DB12}"/>
  </bookViews>
  <sheets>
    <sheet name="Geral" sheetId="1" r:id="rId1"/>
    <sheet name="Twister" sheetId="7" r:id="rId2"/>
    <sheet name="Long Drink" sheetId="6" r:id="rId3"/>
    <sheet name="Pop Cup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1" i="7" l="1" a="1"/>
  <c r="AG21" i="6" a="1"/>
  <c r="AG3" i="8" a="1"/>
  <c r="AG11" i="8" a="1"/>
  <c r="AG10" i="8" a="1"/>
  <c r="AG7" i="7" a="1"/>
  <c r="AG15" i="7" a="1"/>
  <c r="AG24" i="7" a="1"/>
  <c r="AG10" i="7" a="1"/>
  <c r="AG18" i="7" a="1"/>
  <c r="AG5" i="6" a="1"/>
  <c r="AG11" i="6" a="1"/>
  <c r="AG19" i="6" a="1"/>
  <c r="AG6" i="6" a="1"/>
  <c r="AG14" i="6" a="1"/>
  <c r="AG23" i="6" a="1"/>
  <c r="AG9" i="8" a="1"/>
  <c r="AG17" i="6" a="1"/>
  <c r="AG5" i="8" a="1"/>
  <c r="AG4" i="8" a="1"/>
  <c r="AG2" i="8" a="1"/>
  <c r="AG9" i="7" a="1"/>
  <c r="AG17" i="7" a="1"/>
  <c r="AG4" i="7" a="1"/>
  <c r="AG12" i="7" a="1"/>
  <c r="AG20" i="7" a="1"/>
  <c r="AG3" i="6" a="1"/>
  <c r="AG13" i="6" a="1"/>
  <c r="AG22" i="6" a="1"/>
  <c r="AG8" i="6" a="1"/>
  <c r="AG16" i="6" a="1"/>
  <c r="AG25" i="6" a="1"/>
  <c r="AG8" i="8" a="1"/>
  <c r="AG16" i="7" a="1"/>
  <c r="AG4" i="6" a="1"/>
  <c r="AG7" i="8" a="1"/>
  <c r="AG6" i="8" a="1"/>
  <c r="AG3" i="7" a="1"/>
  <c r="AG11" i="7" a="1"/>
  <c r="AG19" i="7" a="1"/>
  <c r="AG6" i="7" a="1"/>
  <c r="AG14" i="7" a="1"/>
  <c r="AG23" i="7" a="1"/>
  <c r="AG7" i="6" a="1"/>
  <c r="AG15" i="6" a="1"/>
  <c r="AG24" i="6" a="1"/>
  <c r="AG10" i="6" a="1"/>
  <c r="AG18" i="6" a="1"/>
  <c r="AG2" i="7" a="1"/>
  <c r="AG5" i="7" a="1"/>
  <c r="AG13" i="7" a="1"/>
  <c r="AG22" i="7" a="1"/>
  <c r="AG8" i="7" a="1"/>
  <c r="AG25" i="7" a="1"/>
  <c r="AG9" i="6" a="1"/>
  <c r="AG12" i="6" a="1"/>
  <c r="AG20" i="6" a="1"/>
  <c r="AG2" i="6" a="1"/>
  <c r="AG21" i="7" l="1"/>
  <c r="AG21" i="6"/>
  <c r="AG2" i="6"/>
  <c r="AG20" i="6"/>
  <c r="AG12" i="6"/>
  <c r="AG9" i="6"/>
  <c r="AG25" i="7"/>
  <c r="AG8" i="7"/>
  <c r="AG22" i="7"/>
  <c r="AG13" i="7"/>
  <c r="AG5" i="7"/>
  <c r="AG2" i="7"/>
  <c r="AG18" i="6"/>
  <c r="AG10" i="6"/>
  <c r="AG24" i="6"/>
  <c r="AG15" i="6"/>
  <c r="AG7" i="6"/>
  <c r="AG23" i="7"/>
  <c r="AG14" i="7"/>
  <c r="AG6" i="7"/>
  <c r="AG19" i="7"/>
  <c r="AG11" i="7"/>
  <c r="AG3" i="7"/>
  <c r="AG6" i="8"/>
  <c r="AG7" i="8"/>
  <c r="AG4" i="6"/>
  <c r="AG16" i="7"/>
  <c r="AG8" i="8"/>
  <c r="AG25" i="6"/>
  <c r="AG16" i="6"/>
  <c r="AG8" i="6"/>
  <c r="AG22" i="6"/>
  <c r="AG13" i="6"/>
  <c r="AG3" i="6"/>
  <c r="AG20" i="7"/>
  <c r="AG12" i="7"/>
  <c r="AG4" i="7"/>
  <c r="AG17" i="7"/>
  <c r="AG9" i="7"/>
  <c r="AG2" i="8"/>
  <c r="AG4" i="8"/>
  <c r="AG5" i="8"/>
  <c r="AG17" i="6"/>
  <c r="AG9" i="8"/>
  <c r="AG23" i="6"/>
  <c r="AG14" i="6"/>
  <c r="AG6" i="6"/>
  <c r="AG19" i="6"/>
  <c r="AG11" i="6"/>
  <c r="AG5" i="6"/>
  <c r="AG18" i="7"/>
  <c r="AG10" i="7"/>
  <c r="AG24" i="7"/>
  <c r="AG15" i="7"/>
  <c r="AG7" i="7"/>
  <c r="AG10" i="8"/>
  <c r="AG11" i="8"/>
  <c r="AG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<sst xmlns="http://schemas.openxmlformats.org/spreadsheetml/2006/main" count="196" uniqueCount="68">
  <si>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</si>
  <si>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</si>
  <si>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</si>
  <si>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</si>
  <si>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</si>
  <si>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</si>
  <si>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</si>
  <si>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</si>
  <si>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</si>
  <si>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</si>
  <si>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</si>
  <si>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</si>
  <si>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</si>
  <si>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</si>
  <si>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</si>
  <si>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</si>
  <si>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</si>
  <si>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</si>
  <si>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</si>
  <si>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</si>
  <si>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</si>
  <si>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</si>
  <si>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</si>
  <si>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</si>
  <si>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</si>
  <si>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VERDE TRANSLUCIDO</t>
  </si>
  <si>
    <t>VERMELHO TRANSLUCIDO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</si>
  <si>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</si>
  <si>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</si>
  <si>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</si>
  <si>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</si>
  <si>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</si>
  <si>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</si>
  <si>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</si>
  <si>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</si>
  <si>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</si>
  <si>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</si>
  <si>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</si>
  <si>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</si>
  <si>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</si>
  <si>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</si>
  <si>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</si>
  <si>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</si>
  <si>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</si>
  <si>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</si>
  <si>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</si>
  <si>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</si>
  <si>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</si>
  <si>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</si>
  <si>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</si>
  <si>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</si>
  <si>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</si>
  <si>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</si>
  <si>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</si>
  <si>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</si>
  <si>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</si>
  <si>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</si>
  <si>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</si>
  <si>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</si>
  <si>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</si>
  <si>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</si>
  <si>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AMARELO</t>
  </si>
  <si>
    <t>AZUL</t>
  </si>
  <si>
    <t>AMARELO NEON</t>
  </si>
  <si>
    <t>AMARELO FUOR</t>
  </si>
  <si>
    <t>LARANJA</t>
  </si>
  <si>
    <t>ROSA</t>
  </si>
  <si>
    <t>VERMELHO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</si>
</sst>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6"/>
      <color rgb="FF000000"/>
      <name val="Aptos Narrow"/>
      <family val="2"/>
    </font>
    <font>
      <sz val="48"/>
      <color rgb="FF000000"/>
      <name val="Aptos Narrow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121"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8</xdr:row>
          <xdr:rowOff>9525</xdr:rowOff>
        </xdr:from>
        <xdr:to>
          <xdr:col>13</xdr:col>
          <xdr:colOff>63500</xdr:colOff>
          <xdr:row>12</xdr:row>
          <xdr:rowOff>269875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</xdr:colOff>
          <xdr:row>0</xdr:row>
          <xdr:rowOff>342900</xdr:rowOff>
        </xdr:from>
        <xdr:to>
          <xdr:col>13</xdr:col>
          <xdr:colOff>3175</xdr:colOff>
          <xdr:row>5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133350</xdr:colOff>
          <xdr:row>0</xdr:row>
          <xdr:rowOff>333375</xdr:rowOff>
        </xdr:from>
        <xdr:to>
          <xdr:col>38</xdr:col>
          <xdr:colOff>209550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C25" totalsRowShown="0" headerRowDxfId="120" dataDxfId="118" headerRowBorderDxfId="119" tableBorderDxfId="117" totalsRowBorderDxfId="116" headerRowCellStyle="Normal" dataCellStyle="Normal">
  <autoFilter ref="A1:C25" xr:uid="{BDFFAE27-028A-47C6-930C-8602EEBA3E50}"/>
  <sortState xmlns:xlrd2="http://schemas.microsoft.com/office/spreadsheetml/2017/richdata2" ref="A2:C25">
    <sortCondition ref="A1:A25"/>
  </sortState>
  <tableColumns count="3">
    <tableColumn id="1" xr3:uid="{8F5E8487-439A-4B3B-BBBC-B91014AE9861}" name="COR" dataDxfId="115" dataCellStyle="Normal"/>
    <tableColumn id="2" xr3:uid="{F9EEA61E-0804-47A7-B277-C43FD4BDB99D}" name="TWISTER" dataDxfId="114" dataCellStyle="Normal"/>
    <tableColumn id="3" xr3:uid="{7DF0988D-6FC9-4D8B-A200-1179AD874D0C}" name="LONG DRINK" dataDxfId="113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5E41DF-4CBD-4CF1-B9C2-14607C22446D}" name="Tabela12" displayName="Tabela12" ref="E1:F11" totalsRowShown="0" headerRowDxfId="10" dataDxfId="11">
  <autoFilter ref="E1:F11" xr:uid="{085E41DF-4CBD-4CF1-B9C2-14607C22446D}"/>
  <tableColumns count="2">
    <tableColumn id="1" xr3:uid="{E31F493D-2A9B-4B4D-A30D-011AA4D17851}" name="COR" dataDxfId="9"/>
    <tableColumn id="2" xr3:uid="{4C3BEC2F-741A-4678-A22A-E6EBACAA25EC}" name="POP CUP" dataDxfId="8" dataCellStyle="Normal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4D7680-A9EE-4840-8F5A-4CC2043070AE}" name="Tabela3" displayName="Tabela3" ref="A1:AG25" totalsRowShown="0">
  <autoFilter ref="A1:AG25" xr:uid="{CB4D7680-A9EE-4840-8F5A-4CC2043070AE}"/>
  <tableColumns count="33">
    <tableColumn id="1" xr3:uid="{C0CD3084-FEEB-4464-8C4E-E7D07E91D33E}" name="COR" dataDxfId="112"/>
    <tableColumn id="2" xr3:uid="{E79AAE1A-DB93-4FFE-BFDB-DCC99DA57F75}" name="1" dataDxfId="111"/>
    <tableColumn id="3" xr3:uid="{51CE3F62-7E4A-46BD-BBE1-0081846236CA}" name="2" dataDxfId="110"/>
    <tableColumn id="4" xr3:uid="{77C776DE-AA17-44CB-9C81-1E1565B61BDE}" name="3" dataDxfId="109"/>
    <tableColumn id="5" xr3:uid="{5B91D714-CD73-4F90-AF1B-1BF9AA55144B}" name="4" dataDxfId="108"/>
    <tableColumn id="6" xr3:uid="{911BB300-7ED3-45CF-B769-A097DA094415}" name="5" dataDxfId="107"/>
    <tableColumn id="7" xr3:uid="{907C4112-B480-418F-853B-0745AB926581}" name="6" dataDxfId="106"/>
    <tableColumn id="8" xr3:uid="{D76512D7-4842-4EDE-90A9-7B9B867360AC}" name="7" dataDxfId="105"/>
    <tableColumn id="9" xr3:uid="{F817A064-3649-452C-8577-B1A8E08A4D74}" name="8" dataDxfId="104"/>
    <tableColumn id="10" xr3:uid="{9B486CD3-7355-454B-ADE9-D031ECF6CF37}" name="9" dataDxfId="103"/>
    <tableColumn id="11" xr3:uid="{98F0F2CB-CADE-41CA-ACD4-D61EDAD5B24A}" name="10" dataDxfId="102"/>
    <tableColumn id="12" xr3:uid="{36F83F2A-3ECA-4478-88B0-6A30FD0F2C60}" name="11" dataDxfId="101"/>
    <tableColumn id="13" xr3:uid="{F4BAAEF3-7D4E-4E3C-8AFC-C7F9DEB5CCB3}" name="12" dataDxfId="100"/>
    <tableColumn id="14" xr3:uid="{CE6A5B51-3D68-423E-BF7D-C40DE708C1CD}" name="13" dataDxfId="99"/>
    <tableColumn id="15" xr3:uid="{BA2D9D58-301F-42CE-9A07-1975E3AD059E}" name="14" dataDxfId="98"/>
    <tableColumn id="16" xr3:uid="{B53CE85D-F818-4CEF-ACD7-412DBFFF67B1}" name="15" dataDxfId="97"/>
    <tableColumn id="17" xr3:uid="{81EAFBF6-7644-4733-9450-34D086995468}" name="16" dataDxfId="96"/>
    <tableColumn id="18" xr3:uid="{7FF009FB-92D9-48FD-87F6-F3CD8766DF26}" name="17" dataDxfId="95"/>
    <tableColumn id="19" xr3:uid="{2B3A11EB-5515-43C0-B8BD-966700D3EA8A}" name="18" dataDxfId="94"/>
    <tableColumn id="20" xr3:uid="{BA09E5C0-B2AD-4F7E-8FC1-C8A9D6351614}" name="19" dataDxfId="93"/>
    <tableColumn id="21" xr3:uid="{2D31C766-D9A2-4671-86FB-64E9C130FF1D}" name="20" dataDxfId="92"/>
    <tableColumn id="22" xr3:uid="{123880DA-4D92-4D6C-9341-CB81E00851EC}" name="21" dataDxfId="91"/>
    <tableColumn id="23" xr3:uid="{F3D4D517-9A84-4992-B71F-664EF5C1D605}" name="22" dataDxfId="90"/>
    <tableColumn id="24" xr3:uid="{69FEEE49-0C6D-4F9D-93DF-8BD5AB292A7D}" name="23" dataDxfId="89"/>
    <tableColumn id="25" xr3:uid="{60E7A6C4-679D-479F-A18D-A7963EB3AE72}" name="24" dataDxfId="88"/>
    <tableColumn id="26" xr3:uid="{F45C5EAE-91F6-4200-A6C3-E36C4AEEF9F0}" name="25" dataDxfId="87"/>
    <tableColumn id="27" xr3:uid="{08D86814-3D68-4485-8459-BA5A1188874D}" name="26" dataDxfId="86"/>
    <tableColumn id="28" xr3:uid="{84F591B0-426E-4545-93A5-B1C037FCA97F}" name="27" dataDxfId="85"/>
    <tableColumn id="29" xr3:uid="{28CDF8C9-A715-4FE3-9C49-3B5C327AAD41}" name="28" dataDxfId="84"/>
    <tableColumn id="30" xr3:uid="{13BFDE3C-3D2B-4607-A981-B467E53C6B92}" name="29" dataDxfId="83"/>
    <tableColumn id="31" xr3:uid="{5BD7F736-1C8F-4C09-8A66-3B962669665A}" name="30" dataDxfId="82"/>
    <tableColumn id="32" xr3:uid="{9E5C2CEF-6205-4CBF-940D-22F850343CB4}" name="31" dataDxfId="81"/>
    <tableColumn id="33" xr3:uid="{D3AFDCE1-885E-43F4-95C6-7DD197AE9F1D}" name="TOTAL" dataDxfId="80">
      <calculatedColumnFormula array="1">SumRowExpressions(B2:AF2)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304D6A-99C6-44BE-A897-2DD1622150C6}" name="Tabela4" displayName="Tabela4" ref="A1:AG25" totalsRowShown="0" headerRowDxfId="79">
  <autoFilter ref="A1:AG25" xr:uid="{43304D6A-99C6-44BE-A897-2DD1622150C6}"/>
  <tableColumns count="33">
    <tableColumn id="1" xr3:uid="{CFCA65CD-BD32-4A4E-8382-113B4AB429F6}" name="COR" dataDxfId="78"/>
    <tableColumn id="2" xr3:uid="{CE0C2DE4-EC5F-4C26-A2FC-90257AB2A52F}" name="1" dataDxfId="77"/>
    <tableColumn id="3" xr3:uid="{349B9A8C-DF15-47FB-9BBB-7070D57F1266}" name="2" dataDxfId="76"/>
    <tableColumn id="4" xr3:uid="{875CF6B3-B6E2-4F9A-88F7-3C8AC5B4AFBA}" name="3" dataDxfId="75"/>
    <tableColumn id="5" xr3:uid="{C662D763-58FD-4769-972C-F973BCA1335F}" name="4" dataDxfId="74"/>
    <tableColumn id="6" xr3:uid="{C499D433-F366-4FA1-9D62-E0AE5683F246}" name="5" dataDxfId="73"/>
    <tableColumn id="7" xr3:uid="{B35BA3BC-11AF-4E76-8284-BBA3E0E3AC55}" name="6" dataDxfId="72"/>
    <tableColumn id="8" xr3:uid="{89831F6C-024D-45A9-AD7A-1021C2E7397A}" name="7" dataDxfId="71"/>
    <tableColumn id="9" xr3:uid="{9FF6F982-15DE-45FC-B09A-CE3177604420}" name="8" dataDxfId="70"/>
    <tableColumn id="10" xr3:uid="{6C3F0599-CFB5-4EC0-AE76-6CC55BBBF0D2}" name="9" dataDxfId="69"/>
    <tableColumn id="11" xr3:uid="{FC5CAEF1-2CDA-4706-8CFE-C468F963232B}" name="10" dataDxfId="68"/>
    <tableColumn id="12" xr3:uid="{34CDC075-AC38-4CE3-B3B8-138B5716E5C5}" name="11" dataDxfId="67"/>
    <tableColumn id="13" xr3:uid="{C32D0309-1348-4F6E-BE2A-05DB90BB1E8A}" name="12" dataDxfId="66"/>
    <tableColumn id="14" xr3:uid="{379C5F37-925E-4F8F-928D-D2DEBF586477}" name="13" dataDxfId="65"/>
    <tableColumn id="15" xr3:uid="{9FA0DE05-0533-424D-B65C-834A23BDE8EF}" name="14" dataDxfId="64"/>
    <tableColumn id="16" xr3:uid="{1BCB6145-ED62-4BDC-BF70-A71F5B6828BF}" name="15" dataDxfId="63"/>
    <tableColumn id="17" xr3:uid="{6D6FD1A4-29C8-4D57-83FE-FBE0A50797C9}" name="16" dataDxfId="62"/>
    <tableColumn id="18" xr3:uid="{8F1EB998-4168-49BC-9AFB-F9C7D2435969}" name="17" dataDxfId="61"/>
    <tableColumn id="19" xr3:uid="{6DA40916-4DAF-4120-BCF9-2D41071C4832}" name="18" dataDxfId="60"/>
    <tableColumn id="20" xr3:uid="{3BC72ED7-C148-4559-A076-B2F89A9E838D}" name="19" dataDxfId="59"/>
    <tableColumn id="21" xr3:uid="{3CA9CD5E-1458-46AF-A0C4-887466AA2AE6}" name="20" dataDxfId="58"/>
    <tableColumn id="22" xr3:uid="{231AB5F3-2485-4F8F-9D41-5FD0A5A44E34}" name="21" dataDxfId="57"/>
    <tableColumn id="23" xr3:uid="{1ACFD69B-BC75-41AA-8361-83DF3C6EF409}" name="22" dataDxfId="56"/>
    <tableColumn id="24" xr3:uid="{FF458481-A796-474E-ACA7-6C3E0397A55A}" name="23" dataDxfId="55"/>
    <tableColumn id="25" xr3:uid="{BD1C09D9-105C-4CB8-B345-FF016F2A296B}" name="24" dataDxfId="54"/>
    <tableColumn id="26" xr3:uid="{3E118957-A7F8-409D-96EA-F607CF4F1A99}" name="25" dataDxfId="53"/>
    <tableColumn id="27" xr3:uid="{CFE192F2-8BA3-42BE-AAB1-5DC9BFF9568A}" name="26" dataDxfId="52"/>
    <tableColumn id="28" xr3:uid="{B6AA201B-C0A8-461E-B21E-D3C48EAEF273}" name="27" dataDxfId="51"/>
    <tableColumn id="29" xr3:uid="{0BC67525-9F93-4F55-8824-CDDDA505D7F4}" name="28" dataDxfId="50"/>
    <tableColumn id="30" xr3:uid="{1F283FF8-13AC-40A3-A69D-C21EBC27C697}" name="29" dataDxfId="49"/>
    <tableColumn id="31" xr3:uid="{6C5E5AE8-1589-4899-8FE2-6CDFC504FAD3}" name="30" dataDxfId="48"/>
    <tableColumn id="32" xr3:uid="{44A2902E-E875-4153-9C7C-84FBE8A453E2}" name="31" dataDxfId="47"/>
    <tableColumn id="33" xr3:uid="{3A135414-AD0C-46DF-89E4-7128FD5D2DEC}" name="TOTAL" dataDxfId="46">
      <calculatedColumnFormula array="1">SumRowExpressions(B2:AF2)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7389D7-782F-45D8-BB82-F437D33B5670}" name="Tabela5" displayName="Tabela5" ref="A1:AG11" totalsRowShown="0" headerRowDxfId="45">
  <autoFilter ref="A1:AG11" xr:uid="{EE7389D7-782F-45D8-BB82-F437D33B5670}"/>
  <tableColumns count="33">
    <tableColumn id="1" xr3:uid="{A8D02DCE-BA6E-44FA-A6A4-B1B772E48E2D}" name="COR" dataDxfId="44"/>
    <tableColumn id="2" xr3:uid="{6572D109-ED65-40C9-90AE-F286963052BD}" name="1" dataDxfId="43"/>
    <tableColumn id="3" xr3:uid="{A36D921D-51A1-4C90-A635-16E0B57F4413}" name="2" dataDxfId="42"/>
    <tableColumn id="4" xr3:uid="{A9207C06-C040-409A-B7FB-EFBF5858CBD7}" name="3" dataDxfId="41"/>
    <tableColumn id="5" xr3:uid="{7D4D3258-C49C-4BAA-B2AD-AEEB8A1F9501}" name="4" dataDxfId="40"/>
    <tableColumn id="6" xr3:uid="{7321185A-624D-4C3A-8624-621082E8B0EB}" name="5" dataDxfId="39"/>
    <tableColumn id="7" xr3:uid="{5C48609C-BB90-43A7-908D-2E95901D29F1}" name="6" dataDxfId="38"/>
    <tableColumn id="8" xr3:uid="{3E3DEA58-F260-4AAF-BBFE-808623E729DC}" name="7" dataDxfId="37"/>
    <tableColumn id="9" xr3:uid="{2F919E84-F2CF-4F8D-8566-4E6F4B03ECCD}" name="8" dataDxfId="36"/>
    <tableColumn id="10" xr3:uid="{715DF1E5-088C-42CA-9307-C1E7B310102E}" name="9" dataDxfId="35"/>
    <tableColumn id="11" xr3:uid="{D07434A1-BE6F-4C34-B1D5-C524D14628EE}" name="10" dataDxfId="34"/>
    <tableColumn id="12" xr3:uid="{AABC424A-0397-441C-B952-7EB32BD2DB81}" name="11" dataDxfId="33"/>
    <tableColumn id="13" xr3:uid="{2668DCB8-269F-4546-AB89-A28A190A2178}" name="12" dataDxfId="32"/>
    <tableColumn id="14" xr3:uid="{26A90361-65B6-46FA-AAD3-4A2D51B9713F}" name="13" dataDxfId="31"/>
    <tableColumn id="15" xr3:uid="{4E004A40-7B0F-4468-98BA-32B979C8E941}" name="14" dataDxfId="30"/>
    <tableColumn id="16" xr3:uid="{1571A5F4-64D8-4BA8-A9A0-CB5F851B9BD9}" name="15" dataDxfId="29"/>
    <tableColumn id="17" xr3:uid="{F5C2A910-9A4F-4882-A61F-63324F4D6A73}" name="16" dataDxfId="28"/>
    <tableColumn id="18" xr3:uid="{4AA2FB96-1213-489D-85B5-0E1569CE9249}" name="17" dataDxfId="27"/>
    <tableColumn id="19" xr3:uid="{C4F2AF1D-99E5-44C6-82D5-0BBEFFBF053C}" name="18" dataDxfId="26"/>
    <tableColumn id="20" xr3:uid="{D778F751-6A44-46F5-921F-0B390434AD77}" name="19" dataDxfId="25"/>
    <tableColumn id="21" xr3:uid="{E49E3707-F5F9-4A0B-8048-6DCA63CAE79C}" name="20" dataDxfId="24"/>
    <tableColumn id="22" xr3:uid="{DB75E5FF-0D04-4CE3-A2A7-A01AB225C37C}" name="21" dataDxfId="23"/>
    <tableColumn id="23" xr3:uid="{B4C7B23A-6133-490E-B006-A4F28D938729}" name="22" dataDxfId="22"/>
    <tableColumn id="24" xr3:uid="{89227916-4832-41D0-88D7-B1011B3E2264}" name="23" dataDxfId="21"/>
    <tableColumn id="25" xr3:uid="{686A046E-D358-430A-A3EF-D4F8D08E0570}" name="24" dataDxfId="20"/>
    <tableColumn id="26" xr3:uid="{6CF8B048-E8CE-4A05-A3CA-0A9A942B4F47}" name="25" dataDxfId="19"/>
    <tableColumn id="27" xr3:uid="{905185FE-F15D-4D1D-91E7-A3FF06A2E315}" name="26" dataDxfId="18"/>
    <tableColumn id="28" xr3:uid="{1EDEAECA-747C-4D98-B439-9456BE3574A3}" name="27" dataDxfId="17"/>
    <tableColumn id="29" xr3:uid="{26CA3801-501F-4260-AD5E-FE690F06A5F5}" name="28" dataDxfId="16"/>
    <tableColumn id="30" xr3:uid="{563EA305-256D-4D1F-9DCD-6E4C74A19555}" name="29" dataDxfId="15"/>
    <tableColumn id="31" xr3:uid="{5E557B67-D392-400B-91DC-C415B92BAD0E}" name="30" dataDxfId="14"/>
    <tableColumn id="32" xr3:uid="{5923B306-6197-4D3F-89FF-E4C33077ACAC}" name="31" dataDxfId="13"/>
    <tableColumn id="33" xr3:uid="{569976F9-583C-4A65-B989-384712142554}" name="TOTAL" dataDxfId="12">
      <calculatedColumnFormula array="1">SumRowExpressions(B2:AF2)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F25"/>
  <sheetViews>
    <sheetView tabSelected="1" zoomScale="60" zoomScaleNormal="60" workbookViewId="0">
      <selection activeCell="S5" sqref="S5"/>
    </sheetView>
  </sheetViews>
  <sheetFormatPr defaultRowHeight="15" x14ac:dyDescent="0.25"/>
  <cols>
    <col min="1" max="1" width="48.140625" customWidth="1"/>
    <col min="2" max="2" width="27.28515625" bestFit="1" customWidth="1"/>
    <col min="3" max="3" width="35" bestFit="1" customWidth="1"/>
    <col min="5" max="5" width="21.28515625" customWidth="1"/>
    <col min="6" max="6" width="21.85546875" customWidth="1"/>
  </cols>
  <sheetData>
    <row r="1" spans="1:6" ht="28.5" x14ac:dyDescent="0.45">
      <c r="A1" s="1" t="s">
        <v>0</v>
      </c>
      <c r="B1" s="2" t="s">
        <v>1</v>
      </c>
      <c r="C1" s="2" t="s">
        <v>2</v>
      </c>
      <c r="E1" s="10" t="s">
        <v>0</v>
      </c>
      <c r="F1" s="10" t="s">
        <v>3</v>
      </c>
    </row>
    <row r="2" spans="1:6" ht="28.5" x14ac:dyDescent="0.45">
      <c r="A2" s="3" t="s">
        <v>4</v>
      </c>
      <c r="B2" s="4"/>
      <c r="C2" s="4"/>
      <c r="E2" s="9" t="s">
        <v>23</v>
      </c>
      <c r="F2" s="10"/>
    </row>
    <row r="3" spans="1:6" ht="28.5" x14ac:dyDescent="0.45">
      <c r="A3" s="3" t="s">
        <v>63</v>
      </c>
      <c r="B3" s="4"/>
      <c r="C3" s="4"/>
      <c r="E3" s="9" t="s">
        <v>61</v>
      </c>
      <c r="F3" s="10"/>
    </row>
    <row r="4" spans="1:6" ht="28.5" x14ac:dyDescent="0.45">
      <c r="A4" s="3" t="s">
        <v>5</v>
      </c>
      <c r="B4" s="4"/>
      <c r="C4" s="4"/>
      <c r="E4" s="9" t="s">
        <v>24</v>
      </c>
      <c r="F4" s="10"/>
    </row>
    <row r="5" spans="1:6" ht="28.5" x14ac:dyDescent="0.45">
      <c r="A5" s="3" t="s">
        <v>6</v>
      </c>
      <c r="B5" s="4"/>
      <c r="C5" s="4"/>
      <c r="E5" s="9" t="s">
        <v>65</v>
      </c>
      <c r="F5" s="10"/>
    </row>
    <row r="6" spans="1:6" ht="28.5" x14ac:dyDescent="0.45">
      <c r="A6" s="3" t="s">
        <v>7</v>
      </c>
      <c r="B6" s="4"/>
      <c r="C6" s="4"/>
      <c r="E6" s="9" t="s">
        <v>66</v>
      </c>
      <c r="F6" s="10"/>
    </row>
    <row r="7" spans="1:6" ht="28.5" x14ac:dyDescent="0.45">
      <c r="A7" s="3" t="s">
        <v>8</v>
      </c>
      <c r="B7" s="4"/>
      <c r="C7" s="4"/>
      <c r="E7" s="9" t="s">
        <v>8</v>
      </c>
      <c r="F7" s="10"/>
    </row>
    <row r="8" spans="1:6" ht="28.5" x14ac:dyDescent="0.45">
      <c r="A8" s="3" t="s">
        <v>9</v>
      </c>
      <c r="B8" s="4"/>
      <c r="C8" s="4"/>
      <c r="E8" s="9" t="s">
        <v>62</v>
      </c>
      <c r="F8" s="10"/>
    </row>
    <row r="9" spans="1:6" ht="28.5" x14ac:dyDescent="0.45">
      <c r="A9" s="3" t="s">
        <v>26</v>
      </c>
      <c r="B9" s="4"/>
      <c r="C9" s="4"/>
      <c r="E9" s="9" t="s">
        <v>67</v>
      </c>
      <c r="F9" s="10"/>
    </row>
    <row r="10" spans="1:6" ht="28.5" x14ac:dyDescent="0.45">
      <c r="A10" s="3" t="s">
        <v>25</v>
      </c>
      <c r="B10" s="4"/>
      <c r="C10" s="4"/>
      <c r="E10" s="9" t="s">
        <v>11</v>
      </c>
      <c r="F10" s="10"/>
    </row>
    <row r="11" spans="1:6" ht="28.5" x14ac:dyDescent="0.45">
      <c r="A11" s="3" t="s">
        <v>10</v>
      </c>
      <c r="B11" s="4"/>
      <c r="C11" s="4"/>
      <c r="E11" s="9" t="s">
        <v>22</v>
      </c>
      <c r="F11" s="10"/>
    </row>
    <row r="12" spans="1:6" ht="28.5" x14ac:dyDescent="0.45">
      <c r="A12" s="3" t="s">
        <v>11</v>
      </c>
      <c r="B12" s="4"/>
      <c r="C12" s="4"/>
    </row>
    <row r="13" spans="1:6" ht="28.5" x14ac:dyDescent="0.45">
      <c r="A13" s="3" t="s">
        <v>12</v>
      </c>
      <c r="B13" s="4"/>
      <c r="C13" s="4"/>
    </row>
    <row r="14" spans="1:6" ht="28.5" x14ac:dyDescent="0.45">
      <c r="A14" s="3" t="s">
        <v>13</v>
      </c>
      <c r="B14" s="4"/>
      <c r="C14" s="4"/>
    </row>
    <row r="15" spans="1:6" ht="28.5" x14ac:dyDescent="0.45">
      <c r="A15" s="3" t="s">
        <v>14</v>
      </c>
      <c r="B15" s="4"/>
      <c r="C15" s="4"/>
    </row>
    <row r="16" spans="1:6" ht="28.5" x14ac:dyDescent="0.45">
      <c r="A16" s="3" t="s">
        <v>15</v>
      </c>
      <c r="B16" s="4"/>
      <c r="C16" s="4"/>
    </row>
    <row r="17" spans="1:3" ht="28.5" x14ac:dyDescent="0.45">
      <c r="A17" s="3" t="s">
        <v>27</v>
      </c>
      <c r="B17" s="4"/>
      <c r="C17" s="4"/>
    </row>
    <row r="18" spans="1:3" ht="28.5" x14ac:dyDescent="0.45">
      <c r="A18" s="3" t="s">
        <v>16</v>
      </c>
      <c r="B18" s="4"/>
      <c r="C18" s="4"/>
    </row>
    <row r="19" spans="1:3" ht="28.5" x14ac:dyDescent="0.45">
      <c r="A19" s="3" t="s">
        <v>17</v>
      </c>
      <c r="B19" s="4"/>
      <c r="C19" s="4"/>
    </row>
    <row r="20" spans="1:3" ht="28.5" x14ac:dyDescent="0.45">
      <c r="A20" s="3" t="s">
        <v>28</v>
      </c>
      <c r="B20" s="4"/>
      <c r="C20" s="4"/>
    </row>
    <row r="21" spans="1:3" ht="28.5" x14ac:dyDescent="0.45">
      <c r="A21" s="3" t="s">
        <v>18</v>
      </c>
      <c r="B21" s="4"/>
      <c r="C21" s="4"/>
    </row>
    <row r="22" spans="1:3" ht="28.5" x14ac:dyDescent="0.45">
      <c r="A22" s="3" t="s">
        <v>19</v>
      </c>
      <c r="B22" s="4"/>
      <c r="C22" s="4"/>
    </row>
    <row r="23" spans="1:3" ht="28.5" x14ac:dyDescent="0.45">
      <c r="A23" s="3" t="s">
        <v>20</v>
      </c>
      <c r="B23" s="4"/>
      <c r="C23" s="4"/>
    </row>
    <row r="24" spans="1:3" ht="28.5" x14ac:dyDescent="0.45">
      <c r="A24" s="3" t="s">
        <v>21</v>
      </c>
      <c r="B24" s="4"/>
      <c r="C24" s="4"/>
    </row>
    <row r="25" spans="1:3" ht="28.5" x14ac:dyDescent="0.45">
      <c r="A25" s="3" t="s">
        <v>22</v>
      </c>
      <c r="B25" s="4"/>
      <c r="C25" s="4"/>
    </row>
  </sheetData>
  <conditionalFormatting sqref="B2:C25">
    <cfRule type="containsBlanks" dxfId="0" priority="10">
      <formula>LEN(TRIM(B2))=0</formula>
    </cfRule>
    <cfRule type="containsText" dxfId="7" priority="5" operator="containsText" text="X">
      <formula>NOT(ISERROR(SEARCH("X",B2)))</formula>
    </cfRule>
    <cfRule type="cellIs" dxfId="6" priority="6" operator="greaterThan">
      <formula>100</formula>
    </cfRule>
    <cfRule type="cellIs" dxfId="5" priority="7" operator="between">
      <formula>1</formula>
      <formula>100</formula>
    </cfRule>
    <cfRule type="cellIs" dxfId="4" priority="8" operator="lessThan">
      <formula>1</formula>
    </cfRule>
  </conditionalFormatting>
  <conditionalFormatting sqref="F2:F11">
    <cfRule type="cellIs" dxfId="3" priority="3" operator="lessThan">
      <formula>1</formula>
    </cfRule>
    <cfRule type="cellIs" dxfId="2" priority="2" operator="between">
      <formula>1</formula>
      <formula>200</formula>
    </cfRule>
    <cfRule type="cellIs" dxfId="1" priority="1" operator="greaterThan">
      <formula>200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7</xdr:col>
                    <xdr:colOff>47625</xdr:colOff>
                    <xdr:row>8</xdr:row>
                    <xdr:rowOff>9525</xdr:rowOff>
                  </from>
                  <to>
                    <xdr:col>13</xdr:col>
                    <xdr:colOff>66675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7</xdr:col>
                    <xdr:colOff>38100</xdr:colOff>
                    <xdr:row>0</xdr:row>
                    <xdr:rowOff>342900</xdr:rowOff>
                  </from>
                  <to>
                    <xdr:col>13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32</xdr:col>
                    <xdr:colOff>133350</xdr:colOff>
                    <xdr:row>0</xdr:row>
                    <xdr:rowOff>333375</xdr:rowOff>
                  </from>
                  <to>
                    <xdr:col>38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6B06-C8BC-4F2D-AD4D-B15C991A249F}">
  <sheetPr codeName="Planilha6"/>
  <dimension ref="A1:AG2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"/>
    </sheetView>
  </sheetViews>
  <sheetFormatPr defaultRowHeight="15" x14ac:dyDescent="0.25"/>
  <cols>
    <col min="1" max="1" width="23.5703125" bestFit="1" customWidth="1"/>
    <col min="33" max="33" width="10.42578125" customWidth="1"/>
  </cols>
  <sheetData>
    <row r="1" spans="1:33" x14ac:dyDescent="0.25">
      <c r="A1" s="7" t="s">
        <v>0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</row>
    <row r="2" spans="1:33" x14ac:dyDescent="0.25">
      <c r="A2" s="5" t="s">
        <v>4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5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26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25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  <row r="12" spans="1:33" x14ac:dyDescent="0.25">
      <c r="A12" s="5" t="s">
        <v>11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6" cm="1">
        <f t="array" ref="AG12">SumRowExpressions(B12:AF12)</f>
        <v>0</v>
      </c>
    </row>
    <row r="13" spans="1:33" x14ac:dyDescent="0.25">
      <c r="A13" s="5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6" cm="1">
        <f t="array" ref="AG13">SumRowExpressions(B13:AF13)</f>
        <v>0</v>
      </c>
    </row>
    <row r="14" spans="1:33" x14ac:dyDescent="0.25">
      <c r="A14" s="5" t="s">
        <v>13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6" cm="1">
        <f t="array" ref="AG14">SumRowExpressions(B14:AF14)</f>
        <v>0</v>
      </c>
    </row>
    <row r="15" spans="1:33" x14ac:dyDescent="0.25">
      <c r="A15" s="5" t="s">
        <v>14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6" cm="1">
        <f t="array" ref="AG15">SumRowExpressions(B15:AF15)</f>
        <v>0</v>
      </c>
    </row>
    <row r="16" spans="1:33" x14ac:dyDescent="0.25">
      <c r="A16" s="5" t="s">
        <v>15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6" cm="1">
        <f t="array" ref="AG16">SumRowExpressions(B16:AF16)</f>
        <v>0</v>
      </c>
    </row>
    <row r="17" spans="1:33" x14ac:dyDescent="0.25">
      <c r="A17" s="5" t="s">
        <v>27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6" cm="1">
        <f t="array" ref="AG17">SumRowExpressions(B17:AF17)</f>
        <v>0</v>
      </c>
    </row>
    <row r="18" spans="1:33" x14ac:dyDescent="0.25">
      <c r="A18" s="5" t="s">
        <v>64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6" cm="1">
        <f t="array" ref="AG18">SumRowExpressions(B18:AF18)</f>
        <v>0</v>
      </c>
    </row>
    <row r="19" spans="1:33" x14ac:dyDescent="0.25">
      <c r="A19" s="5" t="s">
        <v>17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6" cm="1">
        <f t="array" ref="AG19">SumRowExpressions(B19:AF19)</f>
        <v>0</v>
      </c>
    </row>
    <row r="20" spans="1:33" x14ac:dyDescent="0.25">
      <c r="A20" s="5" t="s">
        <v>28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6" cm="1">
        <f t="array" ref="AG20">SumRowExpressions(B20:AF20)</f>
        <v>0</v>
      </c>
    </row>
    <row r="21" spans="1:33" x14ac:dyDescent="0.25">
      <c r="A21" s="5" t="s">
        <v>18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6" cm="1">
        <f t="array" ref="AG21">SumRowExpressions(B21:AF21)</f>
        <v>0</v>
      </c>
    </row>
    <row r="22" spans="1:33" x14ac:dyDescent="0.25">
      <c r="A22" s="5" t="s">
        <v>19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6" cm="1">
        <f t="array" ref="AG22">SumRowExpressions(B22:AF22)</f>
        <v>0</v>
      </c>
    </row>
    <row r="23" spans="1:33" x14ac:dyDescent="0.25">
      <c r="A23" s="5" t="s">
        <v>20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6" cm="1">
        <f t="array" ref="AG23">SumRowExpressions(B23:AF23)</f>
        <v>0</v>
      </c>
    </row>
    <row r="24" spans="1:33" x14ac:dyDescent="0.25">
      <c r="A24" s="5" t="s">
        <v>21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6" cm="1">
        <f t="array" ref="AG24">SumRowExpressions(B24:AF24)</f>
        <v>0</v>
      </c>
    </row>
    <row r="25" spans="1:33" x14ac:dyDescent="0.25">
      <c r="A25" s="5" t="s">
        <v>22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6" cm="1">
        <f t="array" ref="AG25">SumRowExpressions(B25:AF25)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7917-5A99-404A-AC21-865B90A2E276}">
  <sheetPr codeName="Planilha3"/>
  <dimension ref="A1:AG2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3" sqref="A23"/>
    </sheetView>
  </sheetViews>
  <sheetFormatPr defaultRowHeight="15" x14ac:dyDescent="0.25"/>
  <cols>
    <col min="1" max="1" width="29.7109375" bestFit="1" customWidth="1"/>
    <col min="33" max="33" width="10.140625" customWidth="1"/>
  </cols>
  <sheetData>
    <row r="1" spans="1:33" x14ac:dyDescent="0.25">
      <c r="A1" s="7" t="s">
        <v>0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</row>
    <row r="2" spans="1:33" x14ac:dyDescent="0.25">
      <c r="A2" s="5" t="s">
        <v>4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5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26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25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  <row r="12" spans="1:33" x14ac:dyDescent="0.25">
      <c r="A12" s="5" t="s">
        <v>11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6" cm="1">
        <f t="array" ref="AG12">SumRowExpressions(B12:AF12)</f>
        <v>0</v>
      </c>
    </row>
    <row r="13" spans="1:33" x14ac:dyDescent="0.25">
      <c r="A13" s="5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6" cm="1">
        <f t="array" ref="AG13">SumRowExpressions(B13:AF13)</f>
        <v>0</v>
      </c>
    </row>
    <row r="14" spans="1:33" x14ac:dyDescent="0.25">
      <c r="A14" s="5" t="s">
        <v>13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6" cm="1">
        <f t="array" ref="AG14">SumRowExpressions(B14:AF14)</f>
        <v>0</v>
      </c>
    </row>
    <row r="15" spans="1:33" x14ac:dyDescent="0.25">
      <c r="A15" s="5" t="s">
        <v>14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6" cm="1">
        <f t="array" ref="AG15">SumRowExpressions(B15:AF15)</f>
        <v>0</v>
      </c>
    </row>
    <row r="16" spans="1:33" x14ac:dyDescent="0.25">
      <c r="A16" s="5" t="s">
        <v>15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6" cm="1">
        <f t="array" ref="AG16">SumRowExpressions(B16:AF16)</f>
        <v>0</v>
      </c>
    </row>
    <row r="17" spans="1:33" x14ac:dyDescent="0.25">
      <c r="A17" s="5" t="s">
        <v>27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6" cm="1">
        <f t="array" ref="AG17">SumRowExpressions(B17:AF17)</f>
        <v>0</v>
      </c>
    </row>
    <row r="18" spans="1:33" x14ac:dyDescent="0.25">
      <c r="A18" s="5" t="s">
        <v>64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6" cm="1">
        <f t="array" ref="AG18">SumRowExpressions(B18:AF18)</f>
        <v>0</v>
      </c>
    </row>
    <row r="19" spans="1:33" x14ac:dyDescent="0.25">
      <c r="A19" s="5" t="s">
        <v>17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6" cm="1">
        <f t="array" ref="AG19">SumRowExpressions(B19:AF19)</f>
        <v>0</v>
      </c>
    </row>
    <row r="20" spans="1:33" x14ac:dyDescent="0.25">
      <c r="A20" s="5" t="s">
        <v>28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6" cm="1">
        <f t="array" ref="AG20">SumRowExpressions(B20:AF20)</f>
        <v>0</v>
      </c>
    </row>
    <row r="21" spans="1:33" x14ac:dyDescent="0.25">
      <c r="A21" s="5" t="s">
        <v>18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6" cm="1">
        <f t="array" ref="AG21">SumRowExpressions(B21:AF21)</f>
        <v>0</v>
      </c>
    </row>
    <row r="22" spans="1:33" x14ac:dyDescent="0.25">
      <c r="A22" s="5" t="s">
        <v>19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6" cm="1">
        <f t="array" ref="AG22">SumRowExpressions(B22:AF22)</f>
        <v>0</v>
      </c>
    </row>
    <row r="23" spans="1:33" x14ac:dyDescent="0.25">
      <c r="A23" s="5" t="s">
        <v>20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6" cm="1">
        <f t="array" ref="AG23">SumRowExpressions(B23:AF23)</f>
        <v>0</v>
      </c>
    </row>
    <row r="24" spans="1:33" x14ac:dyDescent="0.25">
      <c r="A24" s="5" t="s">
        <v>21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6" cm="1">
        <f t="array" ref="AG24">SumRowExpressions(B24:AF24)</f>
        <v>0</v>
      </c>
    </row>
    <row r="25" spans="1:33" x14ac:dyDescent="0.25">
      <c r="A25" s="5" t="s">
        <v>22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6" cm="1">
        <f t="array" ref="AG25">SumRowExpressions(B25:AF25)</f>
        <v>0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D49A-C471-4188-A008-08814090324F}">
  <sheetPr codeName="Planilha7"/>
  <dimension ref="A1:AG1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6" bestFit="1" customWidth="1"/>
    <col min="30" max="30" width="9.42578125" bestFit="1" customWidth="1"/>
    <col min="33" max="33" width="10.140625" customWidth="1"/>
  </cols>
  <sheetData>
    <row r="1" spans="1:33" x14ac:dyDescent="0.25">
      <c r="A1" s="6" t="s">
        <v>0</v>
      </c>
      <c r="B1" s="6" t="s">
        <v>29</v>
      </c>
      <c r="C1" s="6" t="s">
        <v>30</v>
      </c>
      <c r="D1" s="6" t="s">
        <v>31</v>
      </c>
      <c r="E1" s="6" t="s">
        <v>32</v>
      </c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6" t="s">
        <v>39</v>
      </c>
      <c r="M1" s="6" t="s">
        <v>40</v>
      </c>
      <c r="N1" s="6" t="s">
        <v>41</v>
      </c>
      <c r="O1" s="6" t="s">
        <v>42</v>
      </c>
      <c r="P1" s="6" t="s">
        <v>43</v>
      </c>
      <c r="Q1" s="6" t="s">
        <v>44</v>
      </c>
      <c r="R1" s="6" t="s">
        <v>45</v>
      </c>
      <c r="S1" s="6" t="s">
        <v>46</v>
      </c>
      <c r="T1" s="6" t="s">
        <v>47</v>
      </c>
      <c r="U1" s="6" t="s">
        <v>48</v>
      </c>
      <c r="V1" s="6" t="s">
        <v>49</v>
      </c>
      <c r="W1" s="6" t="s">
        <v>50</v>
      </c>
      <c r="X1" s="6" t="s">
        <v>51</v>
      </c>
      <c r="Y1" s="6" t="s">
        <v>52</v>
      </c>
      <c r="Z1" s="6" t="s">
        <v>53</v>
      </c>
      <c r="AA1" s="6" t="s">
        <v>54</v>
      </c>
      <c r="AB1" s="6" t="s">
        <v>55</v>
      </c>
      <c r="AC1" s="6" t="s">
        <v>56</v>
      </c>
      <c r="AD1" s="6" t="s">
        <v>57</v>
      </c>
      <c r="AE1" s="6" t="s">
        <v>58</v>
      </c>
      <c r="AF1" s="6" t="s">
        <v>59</v>
      </c>
      <c r="AG1" s="6" t="s">
        <v>60</v>
      </c>
    </row>
    <row r="2" spans="1:33" x14ac:dyDescent="0.25">
      <c r="A2" s="5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24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65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66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67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11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22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Geral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2024-05-26T20:21:27Z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